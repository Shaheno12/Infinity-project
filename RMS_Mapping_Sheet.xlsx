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om\Downloads\"/>
    </mc:Choice>
  </mc:AlternateContent>
  <xr:revisionPtr revIDLastSave="0" documentId="8_{E08387D5-EF2B-4A8C-A863-3A496DBB49F2}" xr6:coauthVersionLast="47" xr6:coauthVersionMax="47" xr10:uidLastSave="{00000000-0000-0000-0000-000000000000}"/>
  <bookViews>
    <workbookView xWindow="-108" yWindow="-108" windowWidth="23256" windowHeight="12576" tabRatio="687" activeTab="1" xr2:uid="{6B419B23-60A6-4BB4-A38E-B3A4DFCB908E}"/>
  </bookViews>
  <sheets>
    <sheet name="Change Tracker" sheetId="7" r:id="rId1"/>
    <sheet name="Mapping Sheet" sheetId="1" r:id="rId2"/>
    <sheet name="DDL" sheetId="8" r:id="rId3"/>
    <sheet name="Data Warehouse Matrix" sheetId="10" r:id="rId4"/>
  </sheets>
  <definedNames>
    <definedName name="_xlnm._FilterDatabase" localSheetId="2" hidden="1">DDL!$A$1:$I$243</definedName>
    <definedName name="_xlnm._FilterDatabase" localSheetId="1" hidden="1">'Mapping Sheet'!$A$1:$T$208</definedName>
    <definedName name="_xlnm.Print_Area" localSheetId="3">'Data Warehouse Matrix'!$A$1:$O$7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8" i="8" l="1"/>
  <c r="M179" i="8"/>
  <c r="H178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H165" i="8"/>
  <c r="H129" i="8"/>
  <c r="H4" i="8"/>
  <c r="H185" i="8"/>
  <c r="H184" i="8"/>
  <c r="M184" i="8"/>
  <c r="H147" i="8"/>
  <c r="H146" i="8"/>
  <c r="H134" i="8"/>
  <c r="M117" i="8"/>
  <c r="M118" i="8"/>
  <c r="M119" i="8"/>
  <c r="M120" i="8"/>
  <c r="H121" i="8"/>
  <c r="M130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176" i="8"/>
  <c r="M177" i="8"/>
  <c r="M180" i="8"/>
  <c r="M181" i="8"/>
  <c r="M182" i="8"/>
  <c r="M183" i="8"/>
  <c r="M186" i="8"/>
  <c r="M187" i="8"/>
  <c r="H175" i="8"/>
  <c r="H176" i="8"/>
  <c r="H177" i="8"/>
  <c r="H179" i="8"/>
  <c r="H180" i="8"/>
  <c r="H181" i="8"/>
  <c r="H182" i="8"/>
  <c r="H183" i="8"/>
  <c r="H164" i="8"/>
  <c r="H166" i="8"/>
  <c r="H167" i="8"/>
  <c r="H168" i="8"/>
  <c r="H169" i="8"/>
  <c r="H170" i="8"/>
  <c r="H171" i="8"/>
  <c r="H172" i="8"/>
  <c r="H173" i="8"/>
  <c r="M210" i="8" l="1"/>
  <c r="M211" i="8"/>
  <c r="M212" i="8"/>
  <c r="M213" i="8"/>
  <c r="M214" i="8"/>
  <c r="M215" i="8"/>
  <c r="M216" i="8"/>
  <c r="M217" i="8"/>
  <c r="M131" i="8"/>
  <c r="M132" i="8"/>
  <c r="M133" i="8"/>
  <c r="M135" i="8"/>
  <c r="M136" i="8"/>
  <c r="M137" i="8"/>
  <c r="M138" i="8"/>
  <c r="M139" i="8"/>
  <c r="M140" i="8"/>
  <c r="M141" i="8"/>
  <c r="M142" i="8"/>
  <c r="M143" i="8"/>
  <c r="M144" i="8"/>
  <c r="M145" i="8"/>
  <c r="M148" i="8"/>
  <c r="M149" i="8"/>
  <c r="M150" i="8"/>
  <c r="M151" i="8"/>
  <c r="M152" i="8"/>
  <c r="M153" i="8"/>
  <c r="M154" i="8"/>
  <c r="M155" i="8"/>
  <c r="M188" i="8"/>
  <c r="M122" i="8"/>
  <c r="M123" i="8"/>
  <c r="M124" i="8"/>
  <c r="M125" i="8"/>
  <c r="M126" i="8"/>
  <c r="M127" i="8"/>
  <c r="M128" i="8"/>
  <c r="M114" i="8"/>
  <c r="M115" i="8"/>
  <c r="M116" i="8"/>
  <c r="M113" i="8"/>
  <c r="H114" i="8"/>
  <c r="H36" i="8" l="1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5" i="8"/>
  <c r="H116" i="8"/>
  <c r="H117" i="8"/>
  <c r="H118" i="8"/>
  <c r="H119" i="8"/>
  <c r="H120" i="8"/>
  <c r="H122" i="8"/>
  <c r="H123" i="8"/>
  <c r="H124" i="8"/>
  <c r="H125" i="8"/>
  <c r="H126" i="8"/>
  <c r="H127" i="8"/>
  <c r="H128" i="8"/>
  <c r="H130" i="8"/>
  <c r="H131" i="8"/>
  <c r="H132" i="8"/>
  <c r="H133" i="8"/>
  <c r="H135" i="8"/>
  <c r="H136" i="8"/>
  <c r="H137" i="8"/>
  <c r="H138" i="8"/>
  <c r="H139" i="8"/>
  <c r="H140" i="8"/>
  <c r="H141" i="8"/>
  <c r="H142" i="8"/>
  <c r="H143" i="8"/>
  <c r="H144" i="8"/>
  <c r="H145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74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2" i="8"/>
  <c r="H3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</calcChain>
</file>

<file path=xl/sharedStrings.xml><?xml version="1.0" encoding="utf-8"?>
<sst xmlns="http://schemas.openxmlformats.org/spreadsheetml/2006/main" count="3095" uniqueCount="348">
  <si>
    <t>Target Table</t>
  </si>
  <si>
    <t>Target Column</t>
  </si>
  <si>
    <t>Source Table</t>
  </si>
  <si>
    <t>Source Column</t>
  </si>
  <si>
    <t>Transformation</t>
  </si>
  <si>
    <t>Comment</t>
  </si>
  <si>
    <t>Source Query</t>
  </si>
  <si>
    <t>Quantity</t>
  </si>
  <si>
    <t>Address</t>
  </si>
  <si>
    <t>Status</t>
  </si>
  <si>
    <t>Description</t>
  </si>
  <si>
    <t>Name</t>
  </si>
  <si>
    <t>NAME</t>
  </si>
  <si>
    <t>Date</t>
  </si>
  <si>
    <t>DateSk</t>
  </si>
  <si>
    <t>Month</t>
  </si>
  <si>
    <t>Day</t>
  </si>
  <si>
    <t>DayName</t>
  </si>
  <si>
    <t>MonthName</t>
  </si>
  <si>
    <t>Quarter</t>
  </si>
  <si>
    <t>EndDate</t>
  </si>
  <si>
    <t>City</t>
  </si>
  <si>
    <t>Change Id</t>
  </si>
  <si>
    <t>Initial Mapping</t>
  </si>
  <si>
    <t>Change ID</t>
  </si>
  <si>
    <t>Target Schema</t>
  </si>
  <si>
    <t>Shared</t>
  </si>
  <si>
    <t>Source DB Schema</t>
  </si>
  <si>
    <t>BigInt</t>
  </si>
  <si>
    <t>DimCalendarDate</t>
  </si>
  <si>
    <t>bigint</t>
  </si>
  <si>
    <t>HashCode</t>
  </si>
  <si>
    <t>DimEmployee </t>
  </si>
  <si>
    <t>EmployeeSK</t>
  </si>
  <si>
    <t>Email</t>
  </si>
  <si>
    <t>EmployeeBK</t>
  </si>
  <si>
    <t>Country</t>
  </si>
  <si>
    <t>PaymentSK</t>
  </si>
  <si>
    <t>Source Data Type</t>
  </si>
  <si>
    <t>Package Name</t>
  </si>
  <si>
    <t>Target Table Type</t>
  </si>
  <si>
    <t>Dimension</t>
  </si>
  <si>
    <t>Fact</t>
  </si>
  <si>
    <t>Target Column Data Type</t>
  </si>
  <si>
    <t>varchar(1)</t>
  </si>
  <si>
    <t>Landing DB Schema</t>
  </si>
  <si>
    <t>Landing Source Column</t>
  </si>
  <si>
    <t>Landing Source Table</t>
  </si>
  <si>
    <t>Stage DB Schema</t>
  </si>
  <si>
    <t>Stage Table</t>
  </si>
  <si>
    <t>Stage Column</t>
  </si>
  <si>
    <t>Primary Key</t>
  </si>
  <si>
    <t>Index</t>
  </si>
  <si>
    <t>DDL Statement</t>
  </si>
  <si>
    <t>Foreign Schema</t>
  </si>
  <si>
    <t>Foreign Table</t>
  </si>
  <si>
    <t>Foreign Column</t>
  </si>
  <si>
    <t>Auto Incremental Column as a primary key for DWH table</t>
  </si>
  <si>
    <t>Calculated field helps in DWH incremental load</t>
  </si>
  <si>
    <t>Dimensions</t>
  </si>
  <si>
    <t>Business Processes</t>
  </si>
  <si>
    <t xml:space="preserve"> </t>
  </si>
  <si>
    <t>DATE</t>
  </si>
  <si>
    <t>X</t>
  </si>
  <si>
    <t>Description DDL</t>
  </si>
  <si>
    <t>FK DDL</t>
  </si>
  <si>
    <t>[dbo].[Customer]</t>
  </si>
  <si>
    <t>CustomerID</t>
  </si>
  <si>
    <t>ZIP</t>
  </si>
  <si>
    <t>Phone Number</t>
  </si>
  <si>
    <t>DOB</t>
  </si>
  <si>
    <t>Gender</t>
  </si>
  <si>
    <t>VARCHAR(50)</t>
  </si>
  <si>
    <t>CHAR(1)</t>
  </si>
  <si>
    <t>RSM</t>
  </si>
  <si>
    <t>LandingDate</t>
  </si>
  <si>
    <t>Customer</t>
  </si>
  <si>
    <t>LandingDB</t>
  </si>
  <si>
    <t>StartDate</t>
  </si>
  <si>
    <t>RowStatus</t>
  </si>
  <si>
    <t>IsLatest</t>
  </si>
  <si>
    <t>StagingDB</t>
  </si>
  <si>
    <t>CustomerBK</t>
  </si>
  <si>
    <t>CustomerSK</t>
  </si>
  <si>
    <t>NVARCHAR(1000)</t>
  </si>
  <si>
    <t>DimCustomer</t>
  </si>
  <si>
    <t>SC_RES</t>
  </si>
  <si>
    <t>BranchID</t>
  </si>
  <si>
    <t>MangerName</t>
  </si>
  <si>
    <t>PostalCode</t>
  </si>
  <si>
    <t>[dbo].[Branch]</t>
  </si>
  <si>
    <t>Branch</t>
  </si>
  <si>
    <t>BranchBK</t>
  </si>
  <si>
    <t>BranchSK</t>
  </si>
  <si>
    <t>DimBranch</t>
  </si>
  <si>
    <t>PaymentID</t>
  </si>
  <si>
    <t>status</t>
  </si>
  <si>
    <t>PaymentMethod</t>
  </si>
  <si>
    <t>[dbo].[Payment]</t>
  </si>
  <si>
    <t>Payment</t>
  </si>
  <si>
    <t>DimPayment</t>
  </si>
  <si>
    <t>PaymentBK</t>
  </si>
  <si>
    <t>ProductID</t>
  </si>
  <si>
    <t>name</t>
  </si>
  <si>
    <t>category</t>
  </si>
  <si>
    <t>is_available</t>
  </si>
  <si>
    <t>description</t>
  </si>
  <si>
    <t>BIT</t>
  </si>
  <si>
    <t>[dbo].[ Product]</t>
  </si>
  <si>
    <t>Product</t>
  </si>
  <si>
    <t>ProductSK</t>
  </si>
  <si>
    <t>ProductBK</t>
  </si>
  <si>
    <t>DimProduct</t>
  </si>
  <si>
    <t>OrderID</t>
  </si>
  <si>
    <t>Ordertype</t>
  </si>
  <si>
    <t>[dbo].[ Order]</t>
  </si>
  <si>
    <t>Order</t>
  </si>
  <si>
    <t>OrderSK</t>
  </si>
  <si>
    <t>OrderBK</t>
  </si>
  <si>
    <t>DimOrder</t>
  </si>
  <si>
    <t>Date_Seq</t>
  </si>
  <si>
    <t>DaySuffix</t>
  </si>
  <si>
    <t>WeekInMonth</t>
  </si>
  <si>
    <t>WeekInYearName</t>
  </si>
  <si>
    <t>WeekInYearDesc</t>
  </si>
  <si>
    <t>WeekInYearNum</t>
  </si>
  <si>
    <t>WeekInQuarter</t>
  </si>
  <si>
    <t>WeekOfYear</t>
  </si>
  <si>
    <t>MonthOfQuarter</t>
  </si>
  <si>
    <t>QuarterYear</t>
  </si>
  <si>
    <t>QuarterName</t>
  </si>
  <si>
    <t>QuarterYearNum</t>
  </si>
  <si>
    <t>Year</t>
  </si>
  <si>
    <t>YearName</t>
  </si>
  <si>
    <t>MonthYear</t>
  </si>
  <si>
    <t>MonthYearNum</t>
  </si>
  <si>
    <t>FirstDayOfMonth</t>
  </si>
  <si>
    <t>FirstDayOfMonthNum</t>
  </si>
  <si>
    <t>LastDayOfMonthNum</t>
  </si>
  <si>
    <t>FirstDayInQuarter</t>
  </si>
  <si>
    <t>FirstDayInQuarterNum</t>
  </si>
  <si>
    <t>LastDayInQuarter</t>
  </si>
  <si>
    <t>LastDayInQuarterNum</t>
  </si>
  <si>
    <t>FirstDayInYear</t>
  </si>
  <si>
    <t>FirstYearInDayNum</t>
  </si>
  <si>
    <t>LastDayInYearNum</t>
  </si>
  <si>
    <t>IsHoliday</t>
  </si>
  <si>
    <t>IsWeekDay</t>
  </si>
  <si>
    <t>DaySeqInWeek</t>
  </si>
  <si>
    <t>WeekInYear</t>
  </si>
  <si>
    <t>LastDayOfMonth</t>
  </si>
  <si>
    <t>HolidayName</t>
  </si>
  <si>
    <t>INT</t>
  </si>
  <si>
    <t>CHAR(10)</t>
  </si>
  <si>
    <t>VARCHAR(2)</t>
  </si>
  <si>
    <t>VARCHAR(9)</t>
  </si>
  <si>
    <t>VARCHAR(3)</t>
  </si>
  <si>
    <t>VARCHAR(8)</t>
  </si>
  <si>
    <t>VARCHAR(6)</t>
  </si>
  <si>
    <t>CHAR(4)</t>
  </si>
  <si>
    <t>CHAR(7)</t>
  </si>
  <si>
    <t>IBIT</t>
  </si>
  <si>
    <t>FactOrder</t>
  </si>
  <si>
    <t>DateSK</t>
  </si>
  <si>
    <t>paymentSK</t>
  </si>
  <si>
    <t>productSK</t>
  </si>
  <si>
    <t>paymentdate</t>
  </si>
  <si>
    <t>orderrating</t>
  </si>
  <si>
    <t>unitprice</t>
  </si>
  <si>
    <t>revenue</t>
  </si>
  <si>
    <t>profit</t>
  </si>
  <si>
    <t>customerRegistrationdate</t>
  </si>
  <si>
    <t>orderdate</t>
  </si>
  <si>
    <t>Discount</t>
  </si>
  <si>
    <t>DECIMAL(10, 2)</t>
  </si>
  <si>
    <t xml:space="preserve">       DECIMAL(3,2)</t>
  </si>
  <si>
    <t>DECIMAL(12,2)</t>
  </si>
  <si>
    <t>DECIMAL(5,2)</t>
  </si>
  <si>
    <t>ORDER</t>
  </si>
  <si>
    <t>CUSTOMER</t>
  </si>
  <si>
    <t>PAYMENT</t>
  </si>
  <si>
    <t>OrderItems</t>
  </si>
  <si>
    <t>DimOrderItems</t>
  </si>
  <si>
    <t>OrderItemsBK</t>
  </si>
  <si>
    <t>Specialinstruction</t>
  </si>
  <si>
    <t>OrderItemsID</t>
  </si>
  <si>
    <t>[dbo].[ OrderITtems]</t>
  </si>
  <si>
    <t>Orderitems</t>
  </si>
  <si>
    <t xml:space="preserve">     DECIMAL(3,2)</t>
  </si>
  <si>
    <t>date</t>
  </si>
  <si>
    <t>DECIMAL(5, 2)</t>
  </si>
  <si>
    <t>ROLE</t>
  </si>
  <si>
    <t>PHONENUMPER</t>
  </si>
  <si>
    <t>[dbo].[Employee]</t>
  </si>
  <si>
    <t>EmployeeID</t>
  </si>
  <si>
    <t>Employee</t>
  </si>
  <si>
    <t>SHIFTID</t>
  </si>
  <si>
    <t>ShiftType</t>
  </si>
  <si>
    <t>[dbo].[ Shift]</t>
  </si>
  <si>
    <t>Shift</t>
  </si>
  <si>
    <t>ShiftSK</t>
  </si>
  <si>
    <t>SHIFTBK</t>
  </si>
  <si>
    <t>DimShift</t>
  </si>
  <si>
    <t>CauseID</t>
  </si>
  <si>
    <t>Causename</t>
  </si>
  <si>
    <t>[dbo].[ Cause]</t>
  </si>
  <si>
    <t>Cause</t>
  </si>
  <si>
    <t>CauseBK</t>
  </si>
  <si>
    <t>CauseSK</t>
  </si>
  <si>
    <t>DimCause</t>
  </si>
  <si>
    <t>Bigint</t>
  </si>
  <si>
    <t>PayrollSK</t>
  </si>
  <si>
    <t>employeeSK</t>
  </si>
  <si>
    <t>causeSK</t>
  </si>
  <si>
    <t xml:space="preserve">        Hyring_date</t>
  </si>
  <si>
    <t>Salary</t>
  </si>
  <si>
    <t>bouns</t>
  </si>
  <si>
    <t>deductions</t>
  </si>
  <si>
    <t>Payroll</t>
  </si>
  <si>
    <t>DECIMAL(10,2)</t>
  </si>
  <si>
    <t>FactPayroll</t>
  </si>
  <si>
    <t>salaryAmount</t>
  </si>
  <si>
    <t>[dbo].[ Payroll]</t>
  </si>
  <si>
    <t>WASTESK</t>
  </si>
  <si>
    <t>porductSK</t>
  </si>
  <si>
    <t>quanitity_of_product</t>
  </si>
  <si>
    <t>waste_date</t>
  </si>
  <si>
    <t>waste_reson</t>
  </si>
  <si>
    <t>waste_of_product</t>
  </si>
  <si>
    <t>unit_cost_Product</t>
  </si>
  <si>
    <t xml:space="preserve"> VARCHAR(255)</t>
  </si>
  <si>
    <t xml:space="preserve"> DECIMAL(10,2)</t>
  </si>
  <si>
    <t>Waste</t>
  </si>
  <si>
    <t xml:space="preserve">   [dbo].[waste] </t>
  </si>
  <si>
    <t>FactWaste</t>
  </si>
  <si>
    <t>DimExpenses</t>
  </si>
  <si>
    <t>Expenses</t>
  </si>
  <si>
    <t>ExpensesSK</t>
  </si>
  <si>
    <t>ExpensesBK</t>
  </si>
  <si>
    <t>ExpensesType</t>
  </si>
  <si>
    <t>ExpensesDate</t>
  </si>
  <si>
    <t>ExpensesID</t>
  </si>
  <si>
    <t xml:space="preserve">  [dbo].[Expense]</t>
  </si>
  <si>
    <t>FactExpenses</t>
  </si>
  <si>
    <t>Totalamount</t>
  </si>
  <si>
    <t>Expensesdate</t>
  </si>
  <si>
    <t xml:space="preserve"> DECIMAL(12,2)</t>
  </si>
  <si>
    <t>y</t>
  </si>
  <si>
    <t xml:space="preserve"> Data Type</t>
  </si>
  <si>
    <t>Auto Incremental Column as a primary key for DWH table.</t>
  </si>
  <si>
    <t>Primary key of the source table Customer</t>
  </si>
  <si>
    <t>Primary key of the source table Branch</t>
  </si>
  <si>
    <t>Primary key of the source table Payment</t>
  </si>
  <si>
    <t>Customer postal code</t>
  </si>
  <si>
    <t>Customer address details</t>
  </si>
  <si>
    <t>Full name of the customer</t>
  </si>
  <si>
    <t xml:space="preserve">             Contact number of the customer</t>
  </si>
  <si>
    <t>Contact email of the branch</t>
  </si>
  <si>
    <t>Contact email of the customer</t>
  </si>
  <si>
    <t>Gender of the customer</t>
  </si>
  <si>
    <t>Record insertion date in Data Warehouse</t>
  </si>
  <si>
    <t>Effective start date of the record</t>
  </si>
  <si>
    <t>Effective end date of the record</t>
  </si>
  <si>
    <t>Status flag of the record</t>
  </si>
  <si>
    <t xml:space="preserve">Flag indicating last active record </t>
  </si>
  <si>
    <t>Name of the branch</t>
  </si>
  <si>
    <t>Name of the branch manager</t>
  </si>
  <si>
    <t>Physical address of the branch</t>
  </si>
  <si>
    <t>Operational status of the branch</t>
  </si>
  <si>
    <t>Postal code of the branch</t>
  </si>
  <si>
    <t>Country where the branch is located</t>
  </si>
  <si>
    <t>City where the branch is located</t>
  </si>
  <si>
    <t>Effective start date of the record.</t>
  </si>
  <si>
    <t>Flag indicating last active record</t>
  </si>
  <si>
    <t>Current status of the payment</t>
  </si>
  <si>
    <t>Method of payment (Cash, Card, etc.)</t>
  </si>
  <si>
    <t>Primary key of the source table Product</t>
  </si>
  <si>
    <t>Name of the product.</t>
  </si>
  <si>
    <t>Product category (classification)</t>
  </si>
  <si>
    <t>Availability flag of the product</t>
  </si>
  <si>
    <t>Product description/details</t>
  </si>
  <si>
    <t>Primary key of the source table Order</t>
  </si>
  <si>
    <t>Type of the order (online/offline)</t>
  </si>
  <si>
    <t>Primary key of the source table OrderItems</t>
  </si>
  <si>
    <t>Additional notes or special instructions for the order item</t>
  </si>
  <si>
    <t>Sequential number for the date</t>
  </si>
  <si>
    <t>Calendar date</t>
  </si>
  <si>
    <t>Day of the month</t>
  </si>
  <si>
    <t>Suffix for the day (e.g., st, nd, rd, th)</t>
  </si>
  <si>
    <t>Name of the day (Monday, Tuesday, etc.)</t>
  </si>
  <si>
    <t>Day sequence number in the week</t>
  </si>
  <si>
    <t>Week number within the month</t>
  </si>
  <si>
    <t>Week number within the year</t>
  </si>
  <si>
    <t>Name of the week (e.g., Week 1)</t>
  </si>
  <si>
    <t>Description of the week</t>
  </si>
  <si>
    <t>Numeric week number in the year</t>
  </si>
  <si>
    <t>Week number within the quarter</t>
  </si>
  <si>
    <t>Week number in the calendar year</t>
  </si>
  <si>
    <t>Numeric month value</t>
  </si>
  <si>
    <t>Full month name</t>
  </si>
  <si>
    <t>Month number within the quarter</t>
  </si>
  <si>
    <t>Quarter of the year (Q1, Q2, etc.).</t>
  </si>
  <si>
    <t>Combination of quarter and year</t>
  </si>
  <si>
    <t>Name of the quarter</t>
  </si>
  <si>
    <t>Numeric value of quarter and year</t>
  </si>
  <si>
    <t>Year number</t>
  </si>
  <si>
    <t>Year in string format</t>
  </si>
  <si>
    <t>Combination of month and year</t>
  </si>
  <si>
    <t>Numeric representation of month-year</t>
  </si>
  <si>
    <t>Date of the first day of the month</t>
  </si>
  <si>
    <t>Numeric representation of the first day</t>
  </si>
  <si>
    <t>Date of the last day of the month</t>
  </si>
  <si>
    <t>Numeric representation of the last day</t>
  </si>
  <si>
    <t>Date of the first day in the quarter</t>
  </si>
  <si>
    <t>Numeric representation of the first day in the quarter</t>
  </si>
  <si>
    <t>Date of the last day in the quarter</t>
  </si>
  <si>
    <t>Numeric representation of the last day in the quarter</t>
  </si>
  <si>
    <t>Date of the first day of the year</t>
  </si>
  <si>
    <t>Numeric representation of the first day in the year</t>
  </si>
  <si>
    <t>Numeric representation of the last day in the year</t>
  </si>
  <si>
    <t>Flag to indicate holiday</t>
  </si>
  <si>
    <t>Flag to indicate working day</t>
  </si>
  <si>
    <t>Name of the holiday</t>
  </si>
  <si>
    <t>OrderItemsSK</t>
  </si>
  <si>
    <t>shared</t>
  </si>
  <si>
    <t>DimEmployee</t>
  </si>
  <si>
    <t>DimOrderitems</t>
  </si>
  <si>
    <t>DimAttendance</t>
  </si>
  <si>
    <t>Attendance</t>
  </si>
  <si>
    <t>AttendanceSK</t>
  </si>
  <si>
    <t>AttendanceBK</t>
  </si>
  <si>
    <t>AttendanceID</t>
  </si>
  <si>
    <t>[dbo].[ Attendance]</t>
  </si>
  <si>
    <t>DimTime</t>
  </si>
  <si>
    <t>int</t>
  </si>
  <si>
    <t>HoursWorked</t>
  </si>
  <si>
    <t>Productrating</t>
  </si>
  <si>
    <t>Unitcost</t>
  </si>
  <si>
    <t>Overtime</t>
  </si>
  <si>
    <t>STARTTIME</t>
  </si>
  <si>
    <t>ENDTIME</t>
  </si>
  <si>
    <t>shiftSK</t>
  </si>
  <si>
    <t>branchtrating</t>
  </si>
  <si>
    <t xml:space="preserve"> DECIMAL(3,2)</t>
  </si>
  <si>
    <t>branch</t>
  </si>
  <si>
    <t>[dbo].[ branch]</t>
  </si>
  <si>
    <t>Dimcause</t>
  </si>
  <si>
    <t>DinAttendance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</si>
</sst>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59999389629810485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59999389629810485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59999389629810485"/>
      </patternFill>
    </fill>
    <fill>
      <patternFill patternType="solid">
        <fgColor theme="6" tint="0.59999389629810485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59999389629810485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theme="4" tint="0.59999389629810485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59999389629810485"/>
      </patternFill>
    </fill>
    <fill>
      <patternFill patternType="solid">
        <fgColor theme="9" tint="0.39997558519241921"/>
        <bgColor theme="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2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0" fontId="0" fillId="3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0" fillId="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top"/>
    </xf>
    <xf numFmtId="0" fontId="2" fillId="21" borderId="1" xfId="0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left" vertical="top" wrapText="1"/>
    </xf>
    <xf numFmtId="0" fontId="0" fillId="15" borderId="1" xfId="0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top"/>
    </xf>
    <xf numFmtId="0" fontId="2" fillId="16" borderId="1" xfId="0" applyFont="1" applyFill="1" applyBorder="1" applyAlignment="1">
      <alignment horizontal="left" vertical="top"/>
    </xf>
    <xf numFmtId="0" fontId="2" fillId="15" borderId="1" xfId="0" applyFont="1" applyFill="1" applyBorder="1" applyAlignment="1">
      <alignment horizontal="left" vertical="top" wrapText="1"/>
    </xf>
    <xf numFmtId="0" fontId="0" fillId="23" borderId="1" xfId="0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top"/>
    </xf>
    <xf numFmtId="0" fontId="0" fillId="24" borderId="1" xfId="0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left" vertical="top" wrapText="1"/>
    </xf>
    <xf numFmtId="0" fontId="0" fillId="24" borderId="0" xfId="0" applyFill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top" wrapText="1"/>
    </xf>
    <xf numFmtId="0" fontId="0" fillId="29" borderId="1" xfId="0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/>
    </xf>
    <xf numFmtId="0" fontId="0" fillId="0" borderId="0" xfId="0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0" fillId="31" borderId="1" xfId="0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center"/>
    </xf>
    <xf numFmtId="0" fontId="0" fillId="32" borderId="0" xfId="0" applyFill="1"/>
    <xf numFmtId="0" fontId="5" fillId="0" borderId="0" xfId="2" applyFont="1"/>
    <xf numFmtId="0" fontId="6" fillId="0" borderId="9" xfId="2" applyFont="1" applyBorder="1" applyAlignment="1">
      <alignment horizontal="center" vertical="center"/>
    </xf>
    <xf numFmtId="0" fontId="5" fillId="0" borderId="9" xfId="2" applyFont="1" applyBorder="1" applyAlignment="1" applyProtection="1">
      <alignment horizontal="center"/>
      <protection locked="0"/>
    </xf>
    <xf numFmtId="0" fontId="5" fillId="0" borderId="0" xfId="2" applyFont="1" applyProtection="1">
      <protection locked="0"/>
    </xf>
    <xf numFmtId="0" fontId="5" fillId="0" borderId="0" xfId="2" applyFont="1" applyAlignment="1" applyProtection="1">
      <alignment horizontal="center"/>
      <protection locked="0"/>
    </xf>
    <xf numFmtId="0" fontId="6" fillId="0" borderId="0" xfId="2" applyFont="1" applyAlignment="1">
      <alignment horizontal="center" vertical="center"/>
    </xf>
    <xf numFmtId="0" fontId="5" fillId="33" borderId="0" xfId="2" applyFont="1" applyFill="1" applyAlignment="1" applyProtection="1">
      <alignment wrapText="1"/>
      <protection locked="0"/>
    </xf>
    <xf numFmtId="0" fontId="7" fillId="33" borderId="1" xfId="2" applyFont="1" applyFill="1" applyBorder="1" applyAlignment="1" applyProtection="1">
      <alignment horizontal="left" wrapText="1"/>
      <protection locked="0"/>
    </xf>
    <xf numFmtId="0" fontId="5" fillId="12" borderId="1" xfId="2" applyFont="1" applyFill="1" applyBorder="1" applyAlignment="1" applyProtection="1">
      <alignment horizontal="center" textRotation="90" wrapText="1"/>
      <protection locked="0"/>
    </xf>
    <xf numFmtId="0" fontId="5" fillId="0" borderId="0" xfId="2" applyFont="1" applyAlignment="1" applyProtection="1">
      <alignment wrapText="1"/>
      <protection locked="0"/>
    </xf>
    <xf numFmtId="0" fontId="5" fillId="33" borderId="0" xfId="2" applyFont="1" applyFill="1" applyProtection="1">
      <protection locked="0"/>
    </xf>
    <xf numFmtId="0" fontId="5" fillId="34" borderId="1" xfId="2" applyFont="1" applyFill="1" applyBorder="1" applyAlignment="1" applyProtection="1">
      <alignment horizontal="left" vertical="center" wrapText="1"/>
      <protection locked="0"/>
    </xf>
    <xf numFmtId="0" fontId="7" fillId="0" borderId="1" xfId="2" applyFont="1" applyBorder="1" applyAlignment="1" applyProtection="1">
      <alignment horizontal="center" wrapText="1"/>
      <protection locked="0"/>
    </xf>
    <xf numFmtId="0" fontId="2" fillId="2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29" borderId="1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2" fillId="23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9" borderId="2" xfId="0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29" borderId="6" xfId="0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top"/>
    </xf>
    <xf numFmtId="0" fontId="0" fillId="7" borderId="0" xfId="0" applyFill="1"/>
    <xf numFmtId="0" fontId="0" fillId="28" borderId="6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0" fillId="35" borderId="0" xfId="0" applyFill="1"/>
    <xf numFmtId="0" fontId="0" fillId="15" borderId="6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31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29" borderId="2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0" fillId="29" borderId="7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0" fillId="28" borderId="6" xfId="0" applyFill="1" applyBorder="1" applyAlignment="1">
      <alignment horizontal="center" vertical="center"/>
    </xf>
    <xf numFmtId="0" fontId="7" fillId="33" borderId="8" xfId="2" applyFont="1" applyFill="1" applyBorder="1" applyAlignment="1" applyProtection="1">
      <alignment horizontal="center" wrapText="1"/>
      <protection locked="0"/>
    </xf>
    <xf numFmtId="0" fontId="7" fillId="33" borderId="10" xfId="2" applyFont="1" applyFill="1" applyBorder="1" applyAlignment="1" applyProtection="1">
      <alignment horizontal="center" wrapText="1"/>
      <protection locked="0"/>
    </xf>
  </cellXfs>
  <cellStyles count="3">
    <cellStyle name="Normal" xfId="0" builtinId="0"/>
    <cellStyle name="Normal 2" xfId="1" xr:uid="{A7838844-7F2E-44B2-958E-F235EF6F543C}"/>
    <cellStyle name="Normal 3" xfId="2" xr:uid="{16429FFC-ED94-4D3F-BF5D-285C4DE02E23}"/>
  </cellStyles>
  <dxfs count="23">
    <dxf>
      <fill>
        <patternFill>
          <bgColor indexed="9"/>
        </patternFill>
      </fill>
    </dxf>
    <dxf>
      <fill>
        <patternFill>
          <bgColor indexed="22"/>
        </patternFill>
      </fill>
    </dxf>
    <dxf>
      <fill>
        <patternFill>
          <bgColor indexed="9"/>
        </patternFill>
      </fill>
    </dxf>
    <dxf>
      <fill>
        <patternFill>
          <bgColor indexed="22"/>
        </patternFill>
      </fill>
    </dxf>
    <dxf>
      <fill>
        <patternFill>
          <bgColor indexed="9"/>
        </patternFill>
      </fill>
    </dxf>
    <dxf>
      <fill>
        <patternFill>
          <bgColor indexed="22"/>
        </patternFill>
      </fill>
    </dxf>
    <dxf>
      <fill>
        <patternFill>
          <bgColor indexed="9"/>
        </patternFill>
      </fill>
    </dxf>
    <dxf>
      <fill>
        <patternFill>
          <bgColor indexed="22"/>
        </patternFill>
      </fill>
    </dxf>
    <dxf>
      <fill>
        <patternFill>
          <bgColor indexed="9"/>
        </patternFill>
      </fill>
    </dxf>
    <dxf>
      <fill>
        <patternFill>
          <bgColor indexed="22"/>
        </patternFill>
      </fill>
    </dxf>
    <dxf>
      <fill>
        <patternFill>
          <bgColor indexed="9"/>
        </patternFill>
      </fill>
    </dxf>
    <dxf>
      <fill>
        <patternFill>
          <bgColor indexed="22"/>
        </patternFill>
      </fill>
    </dxf>
    <dxf>
      <fill>
        <patternFill>
          <bgColor indexed="9"/>
        </patternFill>
      </fill>
    </dxf>
    <dxf>
      <fill>
        <patternFill>
          <bgColor indexed="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78</xdr:row>
      <xdr:rowOff>0</xdr:rowOff>
    </xdr:from>
    <xdr:to>
      <xdr:col>46</xdr:col>
      <xdr:colOff>12698</xdr:colOff>
      <xdr:row>78</xdr:row>
      <xdr:rowOff>12698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F8FF2-B3CA-4357-BB74-5A9DF6FB2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9950" y="17157700"/>
          <a:ext cx="12698" cy="12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1037-CCB6-49A3-8B2A-6897730A318E}">
  <dimension ref="A1:D12"/>
  <sheetViews>
    <sheetView workbookViewId="0">
      <selection activeCell="B15" sqref="B15"/>
    </sheetView>
  </sheetViews>
  <sheetFormatPr defaultRowHeight="14.4" x14ac:dyDescent="0.3"/>
  <cols>
    <col min="1" max="1" width="12.109375" style="2" customWidth="1"/>
    <col min="2" max="2" width="35.6640625" bestFit="1" customWidth="1"/>
    <col min="3" max="3" width="23.44140625" style="9" customWidth="1"/>
  </cols>
  <sheetData>
    <row r="1" spans="1:4" x14ac:dyDescent="0.3">
      <c r="A1" s="2" t="s">
        <v>22</v>
      </c>
      <c r="B1" t="s">
        <v>10</v>
      </c>
      <c r="C1" s="9" t="s">
        <v>13</v>
      </c>
    </row>
    <row r="2" spans="1:4" x14ac:dyDescent="0.3">
      <c r="A2" s="2">
        <v>1</v>
      </c>
      <c r="B2" t="s">
        <v>23</v>
      </c>
      <c r="C2" s="9">
        <v>45877</v>
      </c>
    </row>
    <row r="4" spans="1:4" x14ac:dyDescent="0.3">
      <c r="B4" s="62"/>
      <c r="D4" s="9"/>
    </row>
    <row r="8" spans="1:4" ht="13.95" customHeight="1" x14ac:dyDescent="0.3">
      <c r="B8" s="86"/>
    </row>
    <row r="12" spans="1:4" x14ac:dyDescent="0.3">
      <c r="A12" s="94"/>
      <c r="B12" s="93"/>
      <c r="C12" s="9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7A86-C998-4D3C-80E1-5CD92BA436F9}">
  <dimension ref="A1:T209"/>
  <sheetViews>
    <sheetView tabSelected="1" zoomScale="88" zoomScaleNormal="85" workbookViewId="0">
      <pane ySplit="1" topLeftCell="A2" activePane="bottomLeft" state="frozen"/>
      <selection activeCell="B1" sqref="B1"/>
      <selection pane="bottomLeft" activeCell="C184" sqref="C184"/>
    </sheetView>
  </sheetViews>
  <sheetFormatPr defaultColWidth="8.77734375" defaultRowHeight="14.4" x14ac:dyDescent="0.3"/>
  <cols>
    <col min="1" max="1" width="14.6640625" style="2" customWidth="1"/>
    <col min="2" max="2" width="23.21875" style="2" bestFit="1" customWidth="1"/>
    <col min="3" max="3" width="20.109375" style="2" bestFit="1" customWidth="1"/>
    <col min="4" max="4" width="28.77734375" style="2" bestFit="1" customWidth="1"/>
    <col min="5" max="5" width="30" style="2" bestFit="1" customWidth="1"/>
    <col min="6" max="9" width="30" style="2" customWidth="1"/>
    <col min="10" max="10" width="24.88671875" style="2" bestFit="1" customWidth="1"/>
    <col min="11" max="11" width="26.5546875" style="2" bestFit="1" customWidth="1"/>
    <col min="12" max="12" width="28.77734375" style="2" bestFit="1" customWidth="1"/>
    <col min="13" max="13" width="27.33203125" style="2" bestFit="1" customWidth="1"/>
    <col min="14" max="14" width="29.33203125" style="2" bestFit="1" customWidth="1"/>
    <col min="15" max="15" width="32.88671875" style="2" bestFit="1" customWidth="1"/>
    <col min="16" max="16" width="32.88671875" style="2" customWidth="1"/>
    <col min="17" max="17" width="50" style="2" bestFit="1" customWidth="1"/>
    <col min="18" max="18" width="30.33203125" style="2" bestFit="1" customWidth="1"/>
    <col min="19" max="19" width="34.88671875" style="2" bestFit="1" customWidth="1"/>
    <col min="20" max="20" width="34.21875" style="8" customWidth="1"/>
    <col min="21" max="16384" width="8.77734375" style="2"/>
  </cols>
  <sheetData>
    <row r="1" spans="1:20" ht="17.399999999999999" x14ac:dyDescent="0.3">
      <c r="A1" s="1" t="s">
        <v>24</v>
      </c>
      <c r="B1" s="1" t="s">
        <v>40</v>
      </c>
      <c r="C1" s="1" t="s">
        <v>25</v>
      </c>
      <c r="D1" s="1" t="s">
        <v>0</v>
      </c>
      <c r="E1" s="1" t="s">
        <v>1</v>
      </c>
      <c r="F1" s="1" t="s">
        <v>43</v>
      </c>
      <c r="G1" s="1" t="s">
        <v>48</v>
      </c>
      <c r="H1" s="1" t="s">
        <v>49</v>
      </c>
      <c r="I1" s="1" t="s">
        <v>50</v>
      </c>
      <c r="J1" s="1" t="s">
        <v>45</v>
      </c>
      <c r="K1" s="1" t="s">
        <v>47</v>
      </c>
      <c r="L1" s="1" t="s">
        <v>46</v>
      </c>
      <c r="M1" s="1" t="s">
        <v>27</v>
      </c>
      <c r="N1" s="1" t="s">
        <v>2</v>
      </c>
      <c r="O1" s="1" t="s">
        <v>3</v>
      </c>
      <c r="P1" s="1" t="s">
        <v>38</v>
      </c>
      <c r="Q1" s="1" t="s">
        <v>4</v>
      </c>
      <c r="R1" s="11" t="s">
        <v>5</v>
      </c>
      <c r="S1" s="66" t="s">
        <v>39</v>
      </c>
      <c r="T1" s="12" t="s">
        <v>6</v>
      </c>
    </row>
    <row r="2" spans="1:20" s="89" customFormat="1" ht="13.95" customHeight="1" x14ac:dyDescent="0.3">
      <c r="A2" s="27">
        <v>1</v>
      </c>
      <c r="B2" s="27" t="s">
        <v>41</v>
      </c>
      <c r="C2" s="27" t="s">
        <v>86</v>
      </c>
      <c r="D2" s="14" t="s">
        <v>85</v>
      </c>
      <c r="E2" s="14" t="s">
        <v>83</v>
      </c>
      <c r="F2" s="14" t="s">
        <v>30</v>
      </c>
      <c r="G2" s="14"/>
      <c r="H2" s="14"/>
      <c r="I2" s="14"/>
      <c r="J2" s="14"/>
      <c r="K2" s="14"/>
      <c r="L2" s="14"/>
      <c r="M2" s="14"/>
      <c r="N2" s="26"/>
      <c r="O2" s="15"/>
      <c r="P2" s="15"/>
      <c r="Q2" s="26"/>
      <c r="R2" s="14"/>
      <c r="S2" s="107"/>
      <c r="T2" s="29"/>
    </row>
    <row r="3" spans="1:20" s="89" customFormat="1" x14ac:dyDescent="0.3">
      <c r="A3" s="27">
        <v>1</v>
      </c>
      <c r="B3" s="27" t="s">
        <v>41</v>
      </c>
      <c r="C3" s="27" t="s">
        <v>86</v>
      </c>
      <c r="D3" s="14" t="s">
        <v>85</v>
      </c>
      <c r="E3" s="14" t="s">
        <v>82</v>
      </c>
      <c r="F3" s="14" t="s">
        <v>72</v>
      </c>
      <c r="G3" s="14" t="s">
        <v>81</v>
      </c>
      <c r="H3" s="26" t="s">
        <v>76</v>
      </c>
      <c r="I3" s="15" t="s">
        <v>67</v>
      </c>
      <c r="J3" s="14" t="s">
        <v>77</v>
      </c>
      <c r="K3" s="26" t="s">
        <v>76</v>
      </c>
      <c r="L3" s="15" t="s">
        <v>67</v>
      </c>
      <c r="M3" s="14" t="s">
        <v>74</v>
      </c>
      <c r="N3" s="26" t="s">
        <v>66</v>
      </c>
      <c r="O3" s="15" t="s">
        <v>67</v>
      </c>
      <c r="P3" s="27" t="s">
        <v>72</v>
      </c>
      <c r="Q3" s="25"/>
      <c r="R3" s="14"/>
      <c r="S3" s="108"/>
      <c r="T3" s="28"/>
    </row>
    <row r="4" spans="1:20" s="89" customFormat="1" x14ac:dyDescent="0.3">
      <c r="A4" s="27">
        <v>1</v>
      </c>
      <c r="B4" s="27" t="s">
        <v>41</v>
      </c>
      <c r="C4" s="27" t="s">
        <v>86</v>
      </c>
      <c r="D4" s="14" t="s">
        <v>85</v>
      </c>
      <c r="E4" s="14" t="s">
        <v>70</v>
      </c>
      <c r="F4" s="14" t="s">
        <v>62</v>
      </c>
      <c r="G4" s="14" t="s">
        <v>81</v>
      </c>
      <c r="H4" s="26" t="s">
        <v>76</v>
      </c>
      <c r="I4" s="14" t="s">
        <v>70</v>
      </c>
      <c r="J4" s="14" t="s">
        <v>77</v>
      </c>
      <c r="K4" s="26" t="s">
        <v>76</v>
      </c>
      <c r="L4" s="14" t="s">
        <v>70</v>
      </c>
      <c r="M4" s="14" t="s">
        <v>74</v>
      </c>
      <c r="N4" s="26" t="s">
        <v>66</v>
      </c>
      <c r="O4" s="14" t="s">
        <v>70</v>
      </c>
      <c r="P4" s="27" t="s">
        <v>62</v>
      </c>
      <c r="Q4" s="25"/>
      <c r="R4" s="14"/>
      <c r="S4" s="108"/>
      <c r="T4" s="28"/>
    </row>
    <row r="5" spans="1:20" s="89" customFormat="1" x14ac:dyDescent="0.3">
      <c r="A5" s="27">
        <v>1</v>
      </c>
      <c r="B5" s="27" t="s">
        <v>41</v>
      </c>
      <c r="C5" s="27" t="s">
        <v>86</v>
      </c>
      <c r="D5" s="14" t="s">
        <v>85</v>
      </c>
      <c r="E5" s="15" t="s">
        <v>68</v>
      </c>
      <c r="F5" s="14" t="s">
        <v>72</v>
      </c>
      <c r="G5" s="14" t="s">
        <v>81</v>
      </c>
      <c r="H5" s="26" t="s">
        <v>76</v>
      </c>
      <c r="I5" s="15" t="s">
        <v>68</v>
      </c>
      <c r="J5" s="14" t="s">
        <v>77</v>
      </c>
      <c r="K5" s="26" t="s">
        <v>76</v>
      </c>
      <c r="L5" s="15" t="s">
        <v>68</v>
      </c>
      <c r="M5" s="14" t="s">
        <v>74</v>
      </c>
      <c r="N5" s="26" t="s">
        <v>66</v>
      </c>
      <c r="O5" s="15" t="s">
        <v>68</v>
      </c>
      <c r="P5" s="27" t="s">
        <v>72</v>
      </c>
      <c r="Q5" s="25"/>
      <c r="R5" s="14"/>
      <c r="S5" s="108"/>
      <c r="T5" s="28"/>
    </row>
    <row r="6" spans="1:20" s="89" customFormat="1" x14ac:dyDescent="0.3">
      <c r="A6" s="27">
        <v>1</v>
      </c>
      <c r="B6" s="27" t="s">
        <v>41</v>
      </c>
      <c r="C6" s="27" t="s">
        <v>86</v>
      </c>
      <c r="D6" s="14" t="s">
        <v>85</v>
      </c>
      <c r="E6" s="15" t="s">
        <v>69</v>
      </c>
      <c r="F6" s="14" t="s">
        <v>72</v>
      </c>
      <c r="G6" s="14" t="s">
        <v>81</v>
      </c>
      <c r="H6" s="26" t="s">
        <v>76</v>
      </c>
      <c r="I6" s="15" t="s">
        <v>69</v>
      </c>
      <c r="J6" s="14" t="s">
        <v>77</v>
      </c>
      <c r="K6" s="26" t="s">
        <v>76</v>
      </c>
      <c r="L6" s="15" t="s">
        <v>69</v>
      </c>
      <c r="M6" s="14" t="s">
        <v>74</v>
      </c>
      <c r="N6" s="26" t="s">
        <v>66</v>
      </c>
      <c r="O6" s="15" t="s">
        <v>69</v>
      </c>
      <c r="P6" s="27" t="s">
        <v>72</v>
      </c>
      <c r="Q6" s="26"/>
      <c r="R6" s="14"/>
      <c r="S6" s="108"/>
      <c r="T6" s="28"/>
    </row>
    <row r="7" spans="1:20" s="89" customFormat="1" x14ac:dyDescent="0.3">
      <c r="A7" s="27">
        <v>1</v>
      </c>
      <c r="B7" s="27" t="s">
        <v>41</v>
      </c>
      <c r="C7" s="27" t="s">
        <v>86</v>
      </c>
      <c r="D7" s="14" t="s">
        <v>85</v>
      </c>
      <c r="E7" s="15" t="s">
        <v>8</v>
      </c>
      <c r="F7" s="14" t="s">
        <v>72</v>
      </c>
      <c r="G7" s="14" t="s">
        <v>81</v>
      </c>
      <c r="H7" s="26" t="s">
        <v>76</v>
      </c>
      <c r="I7" s="15" t="s">
        <v>8</v>
      </c>
      <c r="J7" s="14" t="s">
        <v>77</v>
      </c>
      <c r="K7" s="26" t="s">
        <v>76</v>
      </c>
      <c r="L7" s="15" t="s">
        <v>8</v>
      </c>
      <c r="M7" s="14" t="s">
        <v>74</v>
      </c>
      <c r="N7" s="26" t="s">
        <v>66</v>
      </c>
      <c r="O7" s="15" t="s">
        <v>8</v>
      </c>
      <c r="P7" s="27" t="s">
        <v>72</v>
      </c>
      <c r="Q7" s="26"/>
      <c r="R7" s="14"/>
      <c r="S7" s="108"/>
      <c r="T7" s="28"/>
    </row>
    <row r="8" spans="1:20" s="89" customFormat="1" x14ac:dyDescent="0.3">
      <c r="A8" s="27">
        <v>1</v>
      </c>
      <c r="B8" s="27" t="s">
        <v>41</v>
      </c>
      <c r="C8" s="27" t="s">
        <v>86</v>
      </c>
      <c r="D8" s="14" t="s">
        <v>85</v>
      </c>
      <c r="E8" s="25" t="s">
        <v>11</v>
      </c>
      <c r="F8" s="14" t="s">
        <v>72</v>
      </c>
      <c r="G8" s="14" t="s">
        <v>81</v>
      </c>
      <c r="H8" s="26" t="s">
        <v>76</v>
      </c>
      <c r="I8" s="25" t="s">
        <v>11</v>
      </c>
      <c r="J8" s="14" t="s">
        <v>77</v>
      </c>
      <c r="K8" s="26" t="s">
        <v>76</v>
      </c>
      <c r="L8" s="25" t="s">
        <v>11</v>
      </c>
      <c r="M8" s="14" t="s">
        <v>74</v>
      </c>
      <c r="N8" s="26" t="s">
        <v>66</v>
      </c>
      <c r="O8" s="25" t="s">
        <v>11</v>
      </c>
      <c r="P8" s="27" t="s">
        <v>72</v>
      </c>
      <c r="Q8" s="26"/>
      <c r="R8" s="14"/>
      <c r="S8" s="108"/>
      <c r="T8" s="28"/>
    </row>
    <row r="9" spans="1:20" s="89" customFormat="1" x14ac:dyDescent="0.3">
      <c r="A9" s="27">
        <v>1</v>
      </c>
      <c r="B9" s="27" t="s">
        <v>41</v>
      </c>
      <c r="C9" s="27" t="s">
        <v>86</v>
      </c>
      <c r="D9" s="14" t="s">
        <v>85</v>
      </c>
      <c r="E9" s="15" t="s">
        <v>34</v>
      </c>
      <c r="F9" s="14" t="s">
        <v>72</v>
      </c>
      <c r="G9" s="14" t="s">
        <v>81</v>
      </c>
      <c r="H9" s="26" t="s">
        <v>76</v>
      </c>
      <c r="I9" s="15" t="s">
        <v>34</v>
      </c>
      <c r="J9" s="14" t="s">
        <v>77</v>
      </c>
      <c r="K9" s="26" t="s">
        <v>76</v>
      </c>
      <c r="L9" s="15" t="s">
        <v>34</v>
      </c>
      <c r="M9" s="14" t="s">
        <v>74</v>
      </c>
      <c r="N9" s="26" t="s">
        <v>66</v>
      </c>
      <c r="O9" s="15" t="s">
        <v>34</v>
      </c>
      <c r="P9" s="27" t="s">
        <v>72</v>
      </c>
      <c r="Q9" s="26"/>
      <c r="R9" s="14"/>
      <c r="S9" s="108"/>
      <c r="T9" s="28"/>
    </row>
    <row r="10" spans="1:20" s="89" customFormat="1" x14ac:dyDescent="0.3">
      <c r="A10" s="27">
        <v>1</v>
      </c>
      <c r="B10" s="27" t="s">
        <v>41</v>
      </c>
      <c r="C10" s="27" t="s">
        <v>86</v>
      </c>
      <c r="D10" s="14" t="s">
        <v>85</v>
      </c>
      <c r="E10" s="26" t="s">
        <v>71</v>
      </c>
      <c r="F10" s="14" t="s">
        <v>72</v>
      </c>
      <c r="G10" s="14" t="s">
        <v>81</v>
      </c>
      <c r="H10" s="26" t="s">
        <v>76</v>
      </c>
      <c r="I10" s="26" t="s">
        <v>71</v>
      </c>
      <c r="J10" s="14" t="s">
        <v>77</v>
      </c>
      <c r="K10" s="26" t="s">
        <v>76</v>
      </c>
      <c r="L10" s="26" t="s">
        <v>71</v>
      </c>
      <c r="M10" s="14" t="s">
        <v>74</v>
      </c>
      <c r="N10" s="26" t="s">
        <v>66</v>
      </c>
      <c r="O10" s="26" t="s">
        <v>71</v>
      </c>
      <c r="P10" s="27" t="s">
        <v>73</v>
      </c>
      <c r="Q10" s="26"/>
      <c r="R10" s="14"/>
      <c r="S10" s="108"/>
      <c r="T10" s="28"/>
    </row>
    <row r="11" spans="1:20" s="89" customFormat="1" x14ac:dyDescent="0.3">
      <c r="A11" s="27">
        <v>1</v>
      </c>
      <c r="B11" s="27" t="s">
        <v>41</v>
      </c>
      <c r="C11" s="27" t="s">
        <v>86</v>
      </c>
      <c r="D11" s="14" t="s">
        <v>85</v>
      </c>
      <c r="E11" s="25" t="s">
        <v>31</v>
      </c>
      <c r="F11" s="14" t="s">
        <v>84</v>
      </c>
      <c r="G11" s="14" t="s">
        <v>81</v>
      </c>
      <c r="H11" s="26" t="s">
        <v>76</v>
      </c>
      <c r="I11" s="25" t="s">
        <v>31</v>
      </c>
      <c r="J11" s="14" t="s">
        <v>77</v>
      </c>
      <c r="K11" s="26" t="s">
        <v>76</v>
      </c>
      <c r="L11" s="25" t="s">
        <v>31</v>
      </c>
      <c r="M11" s="14"/>
      <c r="N11" s="26"/>
      <c r="O11" s="25"/>
      <c r="P11" s="27"/>
      <c r="Q11" s="26"/>
      <c r="R11" s="14"/>
      <c r="S11" s="108"/>
      <c r="T11" s="28"/>
    </row>
    <row r="12" spans="1:20" s="89" customFormat="1" x14ac:dyDescent="0.3">
      <c r="A12" s="27">
        <v>1</v>
      </c>
      <c r="B12" s="27" t="s">
        <v>41</v>
      </c>
      <c r="C12" s="27" t="s">
        <v>86</v>
      </c>
      <c r="D12" s="14" t="s">
        <v>85</v>
      </c>
      <c r="E12" s="25" t="s">
        <v>75</v>
      </c>
      <c r="F12" s="14" t="s">
        <v>62</v>
      </c>
      <c r="G12" s="14" t="s">
        <v>81</v>
      </c>
      <c r="H12" s="26" t="s">
        <v>76</v>
      </c>
      <c r="I12" s="25" t="s">
        <v>75</v>
      </c>
      <c r="J12" s="14" t="s">
        <v>77</v>
      </c>
      <c r="K12" s="26" t="s">
        <v>76</v>
      </c>
      <c r="L12" s="25" t="s">
        <v>75</v>
      </c>
      <c r="M12" s="14"/>
      <c r="N12" s="26"/>
      <c r="O12" s="25"/>
      <c r="P12" s="27"/>
      <c r="Q12" s="26"/>
      <c r="R12" s="14"/>
      <c r="S12" s="108"/>
      <c r="T12" s="28"/>
    </row>
    <row r="13" spans="1:20" s="89" customFormat="1" x14ac:dyDescent="0.3">
      <c r="A13" s="27">
        <v>1</v>
      </c>
      <c r="B13" s="27" t="s">
        <v>41</v>
      </c>
      <c r="C13" s="27" t="s">
        <v>86</v>
      </c>
      <c r="D13" s="14" t="s">
        <v>85</v>
      </c>
      <c r="E13" s="25" t="s">
        <v>78</v>
      </c>
      <c r="F13" s="14" t="s">
        <v>62</v>
      </c>
      <c r="G13" s="14" t="s">
        <v>81</v>
      </c>
      <c r="H13" s="26" t="s">
        <v>76</v>
      </c>
      <c r="I13" s="25" t="s">
        <v>78</v>
      </c>
      <c r="J13" s="14"/>
      <c r="K13" s="26"/>
      <c r="L13" s="25"/>
      <c r="M13" s="14"/>
      <c r="N13" s="26"/>
      <c r="O13" s="25"/>
      <c r="P13" s="27"/>
      <c r="Q13" s="26"/>
      <c r="R13" s="14"/>
      <c r="S13" s="108"/>
      <c r="T13" s="28"/>
    </row>
    <row r="14" spans="1:20" s="89" customFormat="1" x14ac:dyDescent="0.3">
      <c r="A14" s="27">
        <v>1</v>
      </c>
      <c r="B14" s="27" t="s">
        <v>41</v>
      </c>
      <c r="C14" s="27" t="s">
        <v>86</v>
      </c>
      <c r="D14" s="14" t="s">
        <v>85</v>
      </c>
      <c r="E14" s="15" t="s">
        <v>20</v>
      </c>
      <c r="F14" s="14" t="s">
        <v>62</v>
      </c>
      <c r="G14" s="14" t="s">
        <v>81</v>
      </c>
      <c r="H14" s="26" t="s">
        <v>76</v>
      </c>
      <c r="I14" s="15" t="s">
        <v>20</v>
      </c>
      <c r="J14" s="14"/>
      <c r="K14" s="26"/>
      <c r="L14" s="15"/>
      <c r="M14" s="14"/>
      <c r="N14" s="26"/>
      <c r="O14" s="15"/>
      <c r="P14" s="27"/>
      <c r="Q14" s="25"/>
      <c r="R14" s="14"/>
      <c r="S14" s="108"/>
      <c r="T14" s="28"/>
    </row>
    <row r="15" spans="1:20" s="89" customFormat="1" x14ac:dyDescent="0.3">
      <c r="A15" s="27">
        <v>1</v>
      </c>
      <c r="B15" s="27" t="s">
        <v>41</v>
      </c>
      <c r="C15" s="27" t="s">
        <v>86</v>
      </c>
      <c r="D15" s="14" t="s">
        <v>85</v>
      </c>
      <c r="E15" s="15" t="s">
        <v>79</v>
      </c>
      <c r="F15" s="14" t="s">
        <v>44</v>
      </c>
      <c r="G15" s="14" t="s">
        <v>81</v>
      </c>
      <c r="H15" s="26" t="s">
        <v>76</v>
      </c>
      <c r="I15" s="15" t="s">
        <v>79</v>
      </c>
      <c r="J15" s="14"/>
      <c r="K15" s="26"/>
      <c r="L15" s="15"/>
      <c r="M15" s="14"/>
      <c r="N15" s="26"/>
      <c r="O15" s="15"/>
      <c r="P15" s="27"/>
      <c r="Q15" s="26"/>
      <c r="R15" s="14"/>
      <c r="S15" s="108"/>
      <c r="T15" s="28"/>
    </row>
    <row r="16" spans="1:20" s="89" customFormat="1" x14ac:dyDescent="0.3">
      <c r="A16" s="27">
        <v>1</v>
      </c>
      <c r="B16" s="27" t="s">
        <v>41</v>
      </c>
      <c r="C16" s="27" t="s">
        <v>86</v>
      </c>
      <c r="D16" s="14" t="s">
        <v>85</v>
      </c>
      <c r="E16" s="15" t="s">
        <v>80</v>
      </c>
      <c r="F16" s="14" t="s">
        <v>44</v>
      </c>
      <c r="G16" s="14" t="s">
        <v>81</v>
      </c>
      <c r="H16" s="26" t="s">
        <v>76</v>
      </c>
      <c r="I16" s="15" t="s">
        <v>80</v>
      </c>
      <c r="J16" s="14"/>
      <c r="K16" s="26"/>
      <c r="L16" s="15"/>
      <c r="M16" s="14"/>
      <c r="N16" s="26"/>
      <c r="O16" s="15"/>
      <c r="P16" s="27"/>
      <c r="Q16" s="26"/>
      <c r="R16" s="14"/>
      <c r="S16" s="108"/>
      <c r="T16" s="28"/>
    </row>
    <row r="17" spans="1:20" s="89" customFormat="1" ht="15" customHeight="1" x14ac:dyDescent="0.3">
      <c r="A17" s="27">
        <v>1</v>
      </c>
      <c r="B17" s="10" t="s">
        <v>41</v>
      </c>
      <c r="C17" s="10" t="s">
        <v>26</v>
      </c>
      <c r="D17" s="10" t="s">
        <v>94</v>
      </c>
      <c r="E17" s="10" t="s">
        <v>93</v>
      </c>
      <c r="F17" s="3" t="s">
        <v>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09"/>
      <c r="T17" s="7"/>
    </row>
    <row r="18" spans="1:20" s="89" customFormat="1" x14ac:dyDescent="0.3">
      <c r="A18" s="27">
        <v>1</v>
      </c>
      <c r="B18" s="10" t="s">
        <v>41</v>
      </c>
      <c r="C18" s="10" t="s">
        <v>26</v>
      </c>
      <c r="D18" s="10" t="s">
        <v>94</v>
      </c>
      <c r="E18" s="10" t="s">
        <v>92</v>
      </c>
      <c r="F18" s="3" t="s">
        <v>72</v>
      </c>
      <c r="G18" s="4" t="s">
        <v>81</v>
      </c>
      <c r="H18" s="4" t="s">
        <v>91</v>
      </c>
      <c r="I18" s="3" t="s">
        <v>87</v>
      </c>
      <c r="J18" s="3" t="s">
        <v>77</v>
      </c>
      <c r="K18" s="4" t="s">
        <v>91</v>
      </c>
      <c r="L18" s="3" t="s">
        <v>87</v>
      </c>
      <c r="M18" s="3" t="s">
        <v>74</v>
      </c>
      <c r="N18" s="4" t="s">
        <v>90</v>
      </c>
      <c r="O18" s="3" t="s">
        <v>87</v>
      </c>
      <c r="P18" s="3" t="s">
        <v>72</v>
      </c>
      <c r="Q18" s="6"/>
      <c r="R18" s="3"/>
      <c r="S18" s="110"/>
      <c r="T18" s="3"/>
    </row>
    <row r="19" spans="1:20" s="89" customFormat="1" x14ac:dyDescent="0.3">
      <c r="A19" s="27">
        <v>1</v>
      </c>
      <c r="B19" s="10" t="s">
        <v>41</v>
      </c>
      <c r="C19" s="10" t="s">
        <v>26</v>
      </c>
      <c r="D19" s="10" t="s">
        <v>94</v>
      </c>
      <c r="E19" s="3" t="s">
        <v>11</v>
      </c>
      <c r="F19" s="3" t="s">
        <v>72</v>
      </c>
      <c r="G19" s="4" t="s">
        <v>81</v>
      </c>
      <c r="H19" s="4" t="s">
        <v>91</v>
      </c>
      <c r="I19" s="3" t="s">
        <v>11</v>
      </c>
      <c r="J19" s="3" t="s">
        <v>77</v>
      </c>
      <c r="K19" s="4" t="s">
        <v>91</v>
      </c>
      <c r="L19" s="3" t="s">
        <v>11</v>
      </c>
      <c r="M19" s="3" t="s">
        <v>74</v>
      </c>
      <c r="N19" s="4" t="s">
        <v>90</v>
      </c>
      <c r="O19" s="3" t="s">
        <v>11</v>
      </c>
      <c r="P19" s="3" t="s">
        <v>72</v>
      </c>
      <c r="Q19" s="3"/>
      <c r="R19" s="3"/>
      <c r="S19" s="110"/>
      <c r="T19" s="3"/>
    </row>
    <row r="20" spans="1:20" s="89" customFormat="1" x14ac:dyDescent="0.3">
      <c r="A20" s="27">
        <v>1</v>
      </c>
      <c r="B20" s="10" t="s">
        <v>41</v>
      </c>
      <c r="C20" s="10" t="s">
        <v>26</v>
      </c>
      <c r="D20" s="10" t="s">
        <v>94</v>
      </c>
      <c r="E20" s="3" t="s">
        <v>34</v>
      </c>
      <c r="F20" s="3" t="s">
        <v>72</v>
      </c>
      <c r="G20" s="4" t="s">
        <v>81</v>
      </c>
      <c r="H20" s="4" t="s">
        <v>91</v>
      </c>
      <c r="I20" s="3" t="s">
        <v>34</v>
      </c>
      <c r="J20" s="3" t="s">
        <v>77</v>
      </c>
      <c r="K20" s="4" t="s">
        <v>91</v>
      </c>
      <c r="L20" s="3" t="s">
        <v>34</v>
      </c>
      <c r="M20" s="3" t="s">
        <v>74</v>
      </c>
      <c r="N20" s="4" t="s">
        <v>90</v>
      </c>
      <c r="O20" s="3" t="s">
        <v>34</v>
      </c>
      <c r="P20" s="3" t="s">
        <v>72</v>
      </c>
      <c r="Q20" s="4"/>
      <c r="R20" s="3"/>
      <c r="S20" s="110"/>
      <c r="T20" s="3"/>
    </row>
    <row r="21" spans="1:20" s="89" customFormat="1" x14ac:dyDescent="0.3">
      <c r="A21" s="27">
        <v>1</v>
      </c>
      <c r="B21" s="10" t="s">
        <v>41</v>
      </c>
      <c r="C21" s="10" t="s">
        <v>26</v>
      </c>
      <c r="D21" s="10" t="s">
        <v>94</v>
      </c>
      <c r="E21" s="3" t="s">
        <v>88</v>
      </c>
      <c r="F21" s="3" t="s">
        <v>72</v>
      </c>
      <c r="G21" s="4" t="s">
        <v>81</v>
      </c>
      <c r="H21" s="4" t="s">
        <v>91</v>
      </c>
      <c r="I21" s="3" t="s">
        <v>88</v>
      </c>
      <c r="J21" s="3" t="s">
        <v>77</v>
      </c>
      <c r="K21" s="4" t="s">
        <v>91</v>
      </c>
      <c r="L21" s="3" t="s">
        <v>88</v>
      </c>
      <c r="M21" s="3" t="s">
        <v>74</v>
      </c>
      <c r="N21" s="4" t="s">
        <v>90</v>
      </c>
      <c r="O21" s="3" t="s">
        <v>88</v>
      </c>
      <c r="P21" s="3" t="s">
        <v>72</v>
      </c>
      <c r="Q21" s="4"/>
      <c r="R21" s="3"/>
      <c r="S21" s="110"/>
      <c r="T21" s="3"/>
    </row>
    <row r="22" spans="1:20" s="89" customFormat="1" x14ac:dyDescent="0.3">
      <c r="A22" s="27">
        <v>1</v>
      </c>
      <c r="B22" s="10" t="s">
        <v>41</v>
      </c>
      <c r="C22" s="10" t="s">
        <v>26</v>
      </c>
      <c r="D22" s="10" t="s">
        <v>94</v>
      </c>
      <c r="E22" s="3" t="s">
        <v>8</v>
      </c>
      <c r="F22" s="3" t="s">
        <v>72</v>
      </c>
      <c r="G22" s="4" t="s">
        <v>81</v>
      </c>
      <c r="H22" s="4" t="s">
        <v>91</v>
      </c>
      <c r="I22" s="3" t="s">
        <v>8</v>
      </c>
      <c r="J22" s="3" t="s">
        <v>77</v>
      </c>
      <c r="K22" s="4" t="s">
        <v>91</v>
      </c>
      <c r="L22" s="3" t="s">
        <v>8</v>
      </c>
      <c r="M22" s="3" t="s">
        <v>74</v>
      </c>
      <c r="N22" s="4" t="s">
        <v>90</v>
      </c>
      <c r="O22" s="3" t="s">
        <v>8</v>
      </c>
      <c r="P22" s="3" t="s">
        <v>72</v>
      </c>
      <c r="Q22" s="4"/>
      <c r="R22" s="3"/>
      <c r="S22" s="110"/>
      <c r="T22" s="3"/>
    </row>
    <row r="23" spans="1:20" s="89" customFormat="1" ht="15.6" customHeight="1" x14ac:dyDescent="0.3">
      <c r="A23" s="27">
        <v>1</v>
      </c>
      <c r="B23" s="10" t="s">
        <v>41</v>
      </c>
      <c r="C23" s="10" t="s">
        <v>26</v>
      </c>
      <c r="D23" s="10" t="s">
        <v>94</v>
      </c>
      <c r="E23" s="3" t="s">
        <v>9</v>
      </c>
      <c r="F23" s="3" t="s">
        <v>72</v>
      </c>
      <c r="G23" s="4" t="s">
        <v>81</v>
      </c>
      <c r="H23" s="4" t="s">
        <v>91</v>
      </c>
      <c r="I23" s="3" t="s">
        <v>9</v>
      </c>
      <c r="J23" s="3" t="s">
        <v>77</v>
      </c>
      <c r="K23" s="4" t="s">
        <v>91</v>
      </c>
      <c r="L23" s="3" t="s">
        <v>9</v>
      </c>
      <c r="M23" s="3" t="s">
        <v>74</v>
      </c>
      <c r="N23" s="4" t="s">
        <v>90</v>
      </c>
      <c r="O23" s="3" t="s">
        <v>9</v>
      </c>
      <c r="P23" s="3" t="s">
        <v>72</v>
      </c>
      <c r="Q23" s="3"/>
      <c r="R23" s="3"/>
      <c r="S23" s="110"/>
      <c r="T23" s="3"/>
    </row>
    <row r="24" spans="1:20" s="89" customFormat="1" x14ac:dyDescent="0.3">
      <c r="A24" s="27">
        <v>1</v>
      </c>
      <c r="B24" s="10" t="s">
        <v>41</v>
      </c>
      <c r="C24" s="10" t="s">
        <v>26</v>
      </c>
      <c r="D24" s="10" t="s">
        <v>94</v>
      </c>
      <c r="E24" s="3" t="s">
        <v>89</v>
      </c>
      <c r="F24" s="3" t="s">
        <v>72</v>
      </c>
      <c r="G24" s="4" t="s">
        <v>81</v>
      </c>
      <c r="H24" s="4" t="s">
        <v>91</v>
      </c>
      <c r="I24" s="3" t="s">
        <v>89</v>
      </c>
      <c r="J24" s="3" t="s">
        <v>77</v>
      </c>
      <c r="K24" s="4" t="s">
        <v>91</v>
      </c>
      <c r="L24" s="3" t="s">
        <v>89</v>
      </c>
      <c r="M24" s="3" t="s">
        <v>74</v>
      </c>
      <c r="N24" s="4" t="s">
        <v>90</v>
      </c>
      <c r="O24" s="3" t="s">
        <v>89</v>
      </c>
      <c r="P24" s="3" t="s">
        <v>72</v>
      </c>
      <c r="Q24" s="3"/>
      <c r="R24" s="3"/>
      <c r="S24" s="110"/>
      <c r="T24" s="3"/>
    </row>
    <row r="25" spans="1:20" s="89" customFormat="1" x14ac:dyDescent="0.3">
      <c r="A25" s="27">
        <v>1</v>
      </c>
      <c r="B25" s="10" t="s">
        <v>41</v>
      </c>
      <c r="C25" s="10" t="s">
        <v>26</v>
      </c>
      <c r="D25" s="10" t="s">
        <v>94</v>
      </c>
      <c r="E25" s="3" t="s">
        <v>36</v>
      </c>
      <c r="F25" s="3" t="s">
        <v>72</v>
      </c>
      <c r="G25" s="4" t="s">
        <v>81</v>
      </c>
      <c r="H25" s="4" t="s">
        <v>91</v>
      </c>
      <c r="I25" s="3" t="s">
        <v>36</v>
      </c>
      <c r="J25" s="3" t="s">
        <v>77</v>
      </c>
      <c r="K25" s="4" t="s">
        <v>91</v>
      </c>
      <c r="L25" s="3" t="s">
        <v>36</v>
      </c>
      <c r="M25" s="3" t="s">
        <v>74</v>
      </c>
      <c r="N25" s="4" t="s">
        <v>90</v>
      </c>
      <c r="O25" s="3" t="s">
        <v>36</v>
      </c>
      <c r="P25" s="3" t="s">
        <v>72</v>
      </c>
      <c r="Q25" s="3"/>
      <c r="R25" s="3"/>
      <c r="S25" s="110"/>
      <c r="T25" s="3"/>
    </row>
    <row r="26" spans="1:20" s="89" customFormat="1" x14ac:dyDescent="0.3">
      <c r="A26" s="27">
        <v>1</v>
      </c>
      <c r="B26" s="10" t="s">
        <v>41</v>
      </c>
      <c r="C26" s="10" t="s">
        <v>26</v>
      </c>
      <c r="D26" s="10" t="s">
        <v>94</v>
      </c>
      <c r="E26" s="3" t="s">
        <v>21</v>
      </c>
      <c r="F26" s="3" t="s">
        <v>72</v>
      </c>
      <c r="G26" s="4" t="s">
        <v>81</v>
      </c>
      <c r="H26" s="4" t="s">
        <v>91</v>
      </c>
      <c r="I26" s="3" t="s">
        <v>21</v>
      </c>
      <c r="J26" s="3" t="s">
        <v>77</v>
      </c>
      <c r="K26" s="4" t="s">
        <v>91</v>
      </c>
      <c r="L26" s="3" t="s">
        <v>21</v>
      </c>
      <c r="M26" s="3" t="s">
        <v>74</v>
      </c>
      <c r="N26" s="4" t="s">
        <v>90</v>
      </c>
      <c r="O26" s="3" t="s">
        <v>21</v>
      </c>
      <c r="P26" s="3" t="s">
        <v>72</v>
      </c>
      <c r="Q26" s="3"/>
      <c r="R26" s="3"/>
      <c r="S26" s="110"/>
      <c r="T26" s="3"/>
    </row>
    <row r="27" spans="1:20" s="89" customFormat="1" x14ac:dyDescent="0.3">
      <c r="A27" s="27">
        <v>1</v>
      </c>
      <c r="B27" s="10" t="s">
        <v>41</v>
      </c>
      <c r="C27" s="10" t="s">
        <v>26</v>
      </c>
      <c r="D27" s="10" t="s">
        <v>94</v>
      </c>
      <c r="E27" s="3" t="s">
        <v>31</v>
      </c>
      <c r="F27" s="3" t="s">
        <v>84</v>
      </c>
      <c r="G27" s="4" t="s">
        <v>81</v>
      </c>
      <c r="H27" s="4" t="s">
        <v>91</v>
      </c>
      <c r="I27" s="3" t="s">
        <v>31</v>
      </c>
      <c r="J27" s="3" t="s">
        <v>77</v>
      </c>
      <c r="K27" s="4" t="s">
        <v>91</v>
      </c>
      <c r="L27" s="3" t="s">
        <v>31</v>
      </c>
      <c r="M27" s="3"/>
      <c r="N27" s="4"/>
      <c r="O27" s="3"/>
      <c r="P27" s="3"/>
      <c r="Q27" s="3"/>
      <c r="R27" s="3"/>
      <c r="S27" s="110"/>
      <c r="T27" s="3"/>
    </row>
    <row r="28" spans="1:20" s="89" customFormat="1" x14ac:dyDescent="0.3">
      <c r="A28" s="27">
        <v>1</v>
      </c>
      <c r="B28" s="10" t="s">
        <v>41</v>
      </c>
      <c r="C28" s="10" t="s">
        <v>26</v>
      </c>
      <c r="D28" s="10" t="s">
        <v>94</v>
      </c>
      <c r="E28" s="3" t="s">
        <v>75</v>
      </c>
      <c r="F28" s="3" t="s">
        <v>62</v>
      </c>
      <c r="G28" s="4" t="s">
        <v>81</v>
      </c>
      <c r="H28" s="4" t="s">
        <v>91</v>
      </c>
      <c r="I28" s="3" t="s">
        <v>75</v>
      </c>
      <c r="J28" s="3" t="s">
        <v>77</v>
      </c>
      <c r="K28" s="4" t="s">
        <v>91</v>
      </c>
      <c r="L28" s="3" t="s">
        <v>75</v>
      </c>
      <c r="M28" s="3"/>
      <c r="N28" s="4"/>
      <c r="O28" s="3"/>
      <c r="P28" s="3"/>
      <c r="Q28" s="3"/>
      <c r="R28" s="3"/>
      <c r="S28" s="110"/>
      <c r="T28" s="3"/>
    </row>
    <row r="29" spans="1:20" s="89" customFormat="1" x14ac:dyDescent="0.3">
      <c r="A29" s="27">
        <v>1</v>
      </c>
      <c r="B29" s="10" t="s">
        <v>41</v>
      </c>
      <c r="C29" s="10" t="s">
        <v>26</v>
      </c>
      <c r="D29" s="10" t="s">
        <v>94</v>
      </c>
      <c r="E29" s="3" t="s">
        <v>78</v>
      </c>
      <c r="F29" s="3" t="s">
        <v>62</v>
      </c>
      <c r="G29" s="4" t="s">
        <v>81</v>
      </c>
      <c r="H29" s="4" t="s">
        <v>91</v>
      </c>
      <c r="I29" s="3" t="s">
        <v>78</v>
      </c>
      <c r="J29" s="3"/>
      <c r="K29" s="4"/>
      <c r="L29" s="3"/>
      <c r="M29" s="3"/>
      <c r="N29" s="4"/>
      <c r="O29" s="3"/>
      <c r="P29" s="3"/>
      <c r="Q29" s="3"/>
      <c r="R29" s="3"/>
      <c r="S29" s="110"/>
      <c r="T29" s="3"/>
    </row>
    <row r="30" spans="1:20" s="89" customFormat="1" x14ac:dyDescent="0.3">
      <c r="A30" s="27">
        <v>1</v>
      </c>
      <c r="B30" s="10" t="s">
        <v>41</v>
      </c>
      <c r="C30" s="10" t="s">
        <v>26</v>
      </c>
      <c r="D30" s="10" t="s">
        <v>94</v>
      </c>
      <c r="E30" s="3" t="s">
        <v>20</v>
      </c>
      <c r="F30" s="3" t="s">
        <v>62</v>
      </c>
      <c r="G30" s="4" t="s">
        <v>81</v>
      </c>
      <c r="H30" s="4" t="s">
        <v>91</v>
      </c>
      <c r="I30" s="3" t="s">
        <v>20</v>
      </c>
      <c r="J30" s="3"/>
      <c r="K30" s="4"/>
      <c r="L30" s="3"/>
      <c r="M30" s="3"/>
      <c r="N30" s="4"/>
      <c r="O30" s="3"/>
      <c r="P30" s="3"/>
      <c r="Q30" s="3"/>
      <c r="R30" s="3"/>
      <c r="S30" s="110"/>
      <c r="T30" s="3"/>
    </row>
    <row r="31" spans="1:20" s="89" customFormat="1" x14ac:dyDescent="0.3">
      <c r="A31" s="27">
        <v>1</v>
      </c>
      <c r="B31" s="10" t="s">
        <v>41</v>
      </c>
      <c r="C31" s="10" t="s">
        <v>26</v>
      </c>
      <c r="D31" s="10" t="s">
        <v>94</v>
      </c>
      <c r="E31" s="3" t="s">
        <v>79</v>
      </c>
      <c r="F31" s="3" t="s">
        <v>44</v>
      </c>
      <c r="G31" s="4" t="s">
        <v>81</v>
      </c>
      <c r="H31" s="4" t="s">
        <v>91</v>
      </c>
      <c r="I31" s="3" t="s">
        <v>79</v>
      </c>
      <c r="J31" s="3"/>
      <c r="K31" s="4"/>
      <c r="L31" s="3"/>
      <c r="M31" s="3"/>
      <c r="N31" s="4"/>
      <c r="O31" s="3"/>
      <c r="P31" s="3"/>
      <c r="Q31" s="4"/>
      <c r="R31" s="3"/>
      <c r="S31" s="110"/>
      <c r="T31" s="3"/>
    </row>
    <row r="32" spans="1:20" s="89" customFormat="1" x14ac:dyDescent="0.3">
      <c r="A32" s="27">
        <v>1</v>
      </c>
      <c r="B32" s="10" t="s">
        <v>41</v>
      </c>
      <c r="C32" s="10" t="s">
        <v>26</v>
      </c>
      <c r="D32" s="10" t="s">
        <v>94</v>
      </c>
      <c r="E32" s="3" t="s">
        <v>80</v>
      </c>
      <c r="F32" s="3" t="s">
        <v>44</v>
      </c>
      <c r="G32" s="4" t="s">
        <v>81</v>
      </c>
      <c r="H32" s="4" t="s">
        <v>91</v>
      </c>
      <c r="I32" s="3" t="s">
        <v>80</v>
      </c>
      <c r="J32" s="3"/>
      <c r="K32" s="4"/>
      <c r="L32" s="3"/>
      <c r="M32" s="3"/>
      <c r="N32" s="4"/>
      <c r="O32" s="3"/>
      <c r="P32" s="3"/>
      <c r="Q32" s="6"/>
      <c r="R32" s="3"/>
      <c r="S32" s="110"/>
      <c r="T32" s="30"/>
    </row>
    <row r="33" spans="1:20" s="89" customFormat="1" ht="13.95" customHeight="1" x14ac:dyDescent="0.3">
      <c r="A33" s="27">
        <v>1</v>
      </c>
      <c r="B33" s="31" t="s">
        <v>41</v>
      </c>
      <c r="C33" s="31" t="s">
        <v>86</v>
      </c>
      <c r="D33" s="16" t="s">
        <v>100</v>
      </c>
      <c r="E33" s="16" t="s">
        <v>37</v>
      </c>
      <c r="F33" s="16" t="s">
        <v>30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11"/>
      <c r="T33" s="88"/>
    </row>
    <row r="34" spans="1:20" s="89" customFormat="1" x14ac:dyDescent="0.3">
      <c r="A34" s="27">
        <v>1</v>
      </c>
      <c r="B34" s="31" t="s">
        <v>41</v>
      </c>
      <c r="C34" s="31" t="s">
        <v>86</v>
      </c>
      <c r="D34" s="16" t="s">
        <v>100</v>
      </c>
      <c r="E34" s="17" t="s">
        <v>101</v>
      </c>
      <c r="F34" s="17" t="s">
        <v>72</v>
      </c>
      <c r="G34" s="16" t="s">
        <v>81</v>
      </c>
      <c r="H34" s="16" t="s">
        <v>99</v>
      </c>
      <c r="I34" s="17" t="s">
        <v>95</v>
      </c>
      <c r="J34" s="16" t="s">
        <v>77</v>
      </c>
      <c r="K34" s="16" t="s">
        <v>99</v>
      </c>
      <c r="L34" s="17" t="s">
        <v>95</v>
      </c>
      <c r="M34" s="16" t="s">
        <v>74</v>
      </c>
      <c r="N34" s="16" t="s">
        <v>98</v>
      </c>
      <c r="O34" s="17" t="s">
        <v>95</v>
      </c>
      <c r="P34" s="17" t="s">
        <v>72</v>
      </c>
      <c r="Q34" s="18"/>
      <c r="R34" s="24"/>
      <c r="S34" s="112"/>
      <c r="T34" s="60"/>
    </row>
    <row r="35" spans="1:20" s="89" customFormat="1" x14ac:dyDescent="0.3">
      <c r="A35" s="27">
        <v>1</v>
      </c>
      <c r="B35" s="31" t="s">
        <v>41</v>
      </c>
      <c r="C35" s="31" t="s">
        <v>86</v>
      </c>
      <c r="D35" s="16" t="s">
        <v>100</v>
      </c>
      <c r="E35" s="17" t="s">
        <v>96</v>
      </c>
      <c r="F35" s="17" t="s">
        <v>72</v>
      </c>
      <c r="G35" s="16" t="s">
        <v>81</v>
      </c>
      <c r="H35" s="16" t="s">
        <v>99</v>
      </c>
      <c r="I35" s="17" t="s">
        <v>96</v>
      </c>
      <c r="J35" s="16" t="s">
        <v>77</v>
      </c>
      <c r="K35" s="16" t="s">
        <v>99</v>
      </c>
      <c r="L35" s="17" t="s">
        <v>96</v>
      </c>
      <c r="M35" s="16" t="s">
        <v>74</v>
      </c>
      <c r="N35" s="16" t="s">
        <v>98</v>
      </c>
      <c r="O35" s="17" t="s">
        <v>96</v>
      </c>
      <c r="P35" s="17" t="s">
        <v>72</v>
      </c>
      <c r="Q35" s="18"/>
      <c r="R35" s="17"/>
      <c r="S35" s="112"/>
      <c r="T35" s="61"/>
    </row>
    <row r="36" spans="1:20" s="89" customFormat="1" x14ac:dyDescent="0.3">
      <c r="A36" s="27">
        <v>1</v>
      </c>
      <c r="B36" s="31" t="s">
        <v>41</v>
      </c>
      <c r="C36" s="31" t="s">
        <v>86</v>
      </c>
      <c r="D36" s="16" t="s">
        <v>100</v>
      </c>
      <c r="E36" s="17" t="s">
        <v>97</v>
      </c>
      <c r="F36" s="17" t="s">
        <v>72</v>
      </c>
      <c r="G36" s="16" t="s">
        <v>81</v>
      </c>
      <c r="H36" s="16" t="s">
        <v>99</v>
      </c>
      <c r="I36" s="17" t="s">
        <v>97</v>
      </c>
      <c r="J36" s="16" t="s">
        <v>77</v>
      </c>
      <c r="K36" s="16" t="s">
        <v>99</v>
      </c>
      <c r="L36" s="17" t="s">
        <v>97</v>
      </c>
      <c r="M36" s="16" t="s">
        <v>74</v>
      </c>
      <c r="N36" s="16" t="s">
        <v>98</v>
      </c>
      <c r="O36" s="17" t="s">
        <v>97</v>
      </c>
      <c r="P36" s="17" t="s">
        <v>72</v>
      </c>
      <c r="Q36" s="18"/>
      <c r="R36" s="17"/>
      <c r="S36" s="112"/>
      <c r="T36" s="61"/>
    </row>
    <row r="37" spans="1:20" s="89" customFormat="1" x14ac:dyDescent="0.3">
      <c r="A37" s="27">
        <v>1</v>
      </c>
      <c r="B37" s="31" t="s">
        <v>41</v>
      </c>
      <c r="C37" s="31" t="s">
        <v>86</v>
      </c>
      <c r="D37" s="16" t="s">
        <v>100</v>
      </c>
      <c r="E37" s="17" t="s">
        <v>31</v>
      </c>
      <c r="F37" s="16" t="s">
        <v>84</v>
      </c>
      <c r="G37" s="16" t="s">
        <v>81</v>
      </c>
      <c r="H37" s="16" t="s">
        <v>99</v>
      </c>
      <c r="I37" s="17" t="s">
        <v>31</v>
      </c>
      <c r="J37" s="16" t="s">
        <v>77</v>
      </c>
      <c r="K37" s="16" t="s">
        <v>99</v>
      </c>
      <c r="L37" s="17" t="s">
        <v>31</v>
      </c>
      <c r="M37" s="16"/>
      <c r="N37" s="16"/>
      <c r="O37" s="17"/>
      <c r="P37" s="17"/>
      <c r="Q37" s="16"/>
      <c r="R37" s="17"/>
      <c r="S37" s="112"/>
      <c r="T37" s="61"/>
    </row>
    <row r="38" spans="1:20" s="89" customFormat="1" x14ac:dyDescent="0.3">
      <c r="A38" s="27">
        <v>1</v>
      </c>
      <c r="B38" s="31" t="s">
        <v>41</v>
      </c>
      <c r="C38" s="31" t="s">
        <v>86</v>
      </c>
      <c r="D38" s="16" t="s">
        <v>100</v>
      </c>
      <c r="E38" s="16" t="s">
        <v>75</v>
      </c>
      <c r="F38" s="16" t="s">
        <v>62</v>
      </c>
      <c r="G38" s="16" t="s">
        <v>81</v>
      </c>
      <c r="H38" s="16" t="s">
        <v>99</v>
      </c>
      <c r="I38" s="16" t="s">
        <v>75</v>
      </c>
      <c r="J38" s="16" t="s">
        <v>77</v>
      </c>
      <c r="K38" s="16" t="s">
        <v>99</v>
      </c>
      <c r="L38" s="16" t="s">
        <v>75</v>
      </c>
      <c r="M38" s="16"/>
      <c r="N38" s="16"/>
      <c r="O38" s="16"/>
      <c r="P38" s="16"/>
      <c r="Q38" s="24"/>
      <c r="R38" s="16"/>
      <c r="S38" s="112"/>
      <c r="T38" s="61"/>
    </row>
    <row r="39" spans="1:20" s="89" customFormat="1" x14ac:dyDescent="0.3">
      <c r="A39" s="27">
        <v>1</v>
      </c>
      <c r="B39" s="31" t="s">
        <v>41</v>
      </c>
      <c r="C39" s="31" t="s">
        <v>86</v>
      </c>
      <c r="D39" s="16" t="s">
        <v>100</v>
      </c>
      <c r="E39" s="16" t="s">
        <v>78</v>
      </c>
      <c r="F39" s="16" t="s">
        <v>62</v>
      </c>
      <c r="G39" s="16" t="s">
        <v>81</v>
      </c>
      <c r="H39" s="16" t="s">
        <v>99</v>
      </c>
      <c r="I39" s="16" t="s">
        <v>78</v>
      </c>
      <c r="J39" s="16"/>
      <c r="K39" s="16"/>
      <c r="L39" s="16"/>
      <c r="M39" s="16"/>
      <c r="N39" s="16"/>
      <c r="O39" s="16"/>
      <c r="P39" s="16"/>
      <c r="Q39" s="16"/>
      <c r="R39" s="17"/>
      <c r="S39" s="112"/>
      <c r="T39" s="61"/>
    </row>
    <row r="40" spans="1:20" s="89" customFormat="1" x14ac:dyDescent="0.3">
      <c r="A40" s="27">
        <v>1</v>
      </c>
      <c r="B40" s="31" t="s">
        <v>41</v>
      </c>
      <c r="C40" s="31" t="s">
        <v>86</v>
      </c>
      <c r="D40" s="16" t="s">
        <v>100</v>
      </c>
      <c r="E40" s="16" t="s">
        <v>20</v>
      </c>
      <c r="F40" s="16" t="s">
        <v>62</v>
      </c>
      <c r="G40" s="16" t="s">
        <v>81</v>
      </c>
      <c r="H40" s="16" t="s">
        <v>99</v>
      </c>
      <c r="I40" s="16" t="s">
        <v>20</v>
      </c>
      <c r="J40" s="16"/>
      <c r="K40" s="16"/>
      <c r="L40" s="16"/>
      <c r="M40" s="16"/>
      <c r="N40" s="16"/>
      <c r="O40" s="16"/>
      <c r="P40" s="16"/>
      <c r="Q40" s="18"/>
      <c r="R40" s="16"/>
      <c r="S40" s="112"/>
      <c r="T40" s="61"/>
    </row>
    <row r="41" spans="1:20" s="89" customFormat="1" x14ac:dyDescent="0.3">
      <c r="A41" s="27">
        <v>1</v>
      </c>
      <c r="B41" s="31" t="s">
        <v>41</v>
      </c>
      <c r="C41" s="31" t="s">
        <v>86</v>
      </c>
      <c r="D41" s="16" t="s">
        <v>100</v>
      </c>
      <c r="E41" s="16" t="s">
        <v>79</v>
      </c>
      <c r="F41" s="16" t="s">
        <v>44</v>
      </c>
      <c r="G41" s="16" t="s">
        <v>81</v>
      </c>
      <c r="H41" s="16" t="s">
        <v>99</v>
      </c>
      <c r="I41" s="16" t="s">
        <v>79</v>
      </c>
      <c r="J41" s="16"/>
      <c r="K41" s="16"/>
      <c r="L41" s="16"/>
      <c r="M41" s="16"/>
      <c r="N41" s="16"/>
      <c r="O41" s="16"/>
      <c r="P41" s="16"/>
      <c r="Q41" s="18"/>
      <c r="R41" s="16"/>
      <c r="S41" s="112"/>
      <c r="T41" s="61"/>
    </row>
    <row r="42" spans="1:20" s="89" customFormat="1" x14ac:dyDescent="0.3">
      <c r="A42" s="27">
        <v>1</v>
      </c>
      <c r="B42" s="31" t="s">
        <v>41</v>
      </c>
      <c r="C42" s="31" t="s">
        <v>86</v>
      </c>
      <c r="D42" s="16" t="s">
        <v>100</v>
      </c>
      <c r="E42" s="16" t="s">
        <v>80</v>
      </c>
      <c r="F42" s="16" t="s">
        <v>44</v>
      </c>
      <c r="G42" s="16" t="s">
        <v>81</v>
      </c>
      <c r="H42" s="16" t="s">
        <v>99</v>
      </c>
      <c r="I42" s="16" t="s">
        <v>80</v>
      </c>
      <c r="J42" s="16"/>
      <c r="K42" s="16"/>
      <c r="L42" s="16"/>
      <c r="M42" s="16"/>
      <c r="N42" s="16"/>
      <c r="O42" s="16"/>
      <c r="P42" s="16"/>
      <c r="Q42" s="16"/>
      <c r="R42" s="16"/>
      <c r="S42" s="113"/>
      <c r="T42" s="61"/>
    </row>
    <row r="43" spans="1:20" s="89" customFormat="1" x14ac:dyDescent="0.3">
      <c r="A43" s="27">
        <v>1</v>
      </c>
      <c r="B43" s="32" t="s">
        <v>41</v>
      </c>
      <c r="C43" s="32" t="s">
        <v>26</v>
      </c>
      <c r="D43" s="19" t="s">
        <v>112</v>
      </c>
      <c r="E43" s="19" t="s">
        <v>110</v>
      </c>
      <c r="F43" s="19" t="s">
        <v>28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0"/>
      <c r="R43" s="21"/>
      <c r="S43" s="114"/>
      <c r="T43" s="34"/>
    </row>
    <row r="44" spans="1:20" s="89" customFormat="1" x14ac:dyDescent="0.3">
      <c r="A44" s="27">
        <v>1</v>
      </c>
      <c r="B44" s="32" t="s">
        <v>41</v>
      </c>
      <c r="C44" s="32" t="s">
        <v>26</v>
      </c>
      <c r="D44" s="19" t="s">
        <v>112</v>
      </c>
      <c r="E44" s="19" t="s">
        <v>111</v>
      </c>
      <c r="F44" s="19" t="s">
        <v>72</v>
      </c>
      <c r="G44" s="20" t="s">
        <v>81</v>
      </c>
      <c r="H44" s="20" t="s">
        <v>109</v>
      </c>
      <c r="I44" s="19" t="s">
        <v>102</v>
      </c>
      <c r="J44" s="19" t="s">
        <v>77</v>
      </c>
      <c r="K44" s="19" t="s">
        <v>109</v>
      </c>
      <c r="L44" s="19" t="s">
        <v>102</v>
      </c>
      <c r="M44" s="19" t="s">
        <v>74</v>
      </c>
      <c r="N44" s="19" t="s">
        <v>108</v>
      </c>
      <c r="O44" s="19" t="s">
        <v>102</v>
      </c>
      <c r="P44" s="19" t="s">
        <v>72</v>
      </c>
      <c r="Q44" s="20"/>
      <c r="R44" s="21"/>
      <c r="S44" s="115"/>
      <c r="T44" s="35"/>
    </row>
    <row r="45" spans="1:20" s="89" customFormat="1" x14ac:dyDescent="0.3">
      <c r="A45" s="27">
        <v>1</v>
      </c>
      <c r="B45" s="32" t="s">
        <v>41</v>
      </c>
      <c r="C45" s="32" t="s">
        <v>26</v>
      </c>
      <c r="D45" s="19" t="s">
        <v>112</v>
      </c>
      <c r="E45" s="19" t="s">
        <v>103</v>
      </c>
      <c r="F45" s="19" t="s">
        <v>72</v>
      </c>
      <c r="G45" s="20" t="s">
        <v>81</v>
      </c>
      <c r="H45" s="20" t="s">
        <v>109</v>
      </c>
      <c r="I45" s="19" t="s">
        <v>103</v>
      </c>
      <c r="J45" s="19" t="s">
        <v>77</v>
      </c>
      <c r="K45" s="19" t="s">
        <v>109</v>
      </c>
      <c r="L45" s="19" t="s">
        <v>103</v>
      </c>
      <c r="M45" s="19" t="s">
        <v>74</v>
      </c>
      <c r="N45" s="19" t="s">
        <v>108</v>
      </c>
      <c r="O45" s="19" t="s">
        <v>103</v>
      </c>
      <c r="P45" s="19" t="s">
        <v>72</v>
      </c>
      <c r="Q45" s="20"/>
      <c r="R45" s="21"/>
      <c r="S45" s="115"/>
      <c r="T45" s="34"/>
    </row>
    <row r="46" spans="1:20" s="89" customFormat="1" x14ac:dyDescent="0.3">
      <c r="A46" s="27">
        <v>1</v>
      </c>
      <c r="B46" s="32" t="s">
        <v>41</v>
      </c>
      <c r="C46" s="32" t="s">
        <v>26</v>
      </c>
      <c r="D46" s="19" t="s">
        <v>112</v>
      </c>
      <c r="E46" s="19" t="s">
        <v>104</v>
      </c>
      <c r="F46" s="19" t="s">
        <v>72</v>
      </c>
      <c r="G46" s="20" t="s">
        <v>81</v>
      </c>
      <c r="H46" s="20" t="s">
        <v>109</v>
      </c>
      <c r="I46" s="19" t="s">
        <v>104</v>
      </c>
      <c r="J46" s="19" t="s">
        <v>77</v>
      </c>
      <c r="K46" s="19" t="s">
        <v>109</v>
      </c>
      <c r="L46" s="19" t="s">
        <v>104</v>
      </c>
      <c r="M46" s="19" t="s">
        <v>74</v>
      </c>
      <c r="N46" s="19" t="s">
        <v>108</v>
      </c>
      <c r="O46" s="19" t="s">
        <v>104</v>
      </c>
      <c r="P46" s="19" t="s">
        <v>72</v>
      </c>
      <c r="Q46" s="20"/>
      <c r="R46" s="21"/>
      <c r="S46" s="115"/>
      <c r="T46" s="34"/>
    </row>
    <row r="47" spans="1:20" s="89" customFormat="1" x14ac:dyDescent="0.3">
      <c r="A47" s="27">
        <v>1</v>
      </c>
      <c r="B47" s="32" t="s">
        <v>41</v>
      </c>
      <c r="C47" s="32" t="s">
        <v>26</v>
      </c>
      <c r="D47" s="19" t="s">
        <v>112</v>
      </c>
      <c r="E47" s="19" t="s">
        <v>105</v>
      </c>
      <c r="F47" s="19" t="s">
        <v>107</v>
      </c>
      <c r="G47" s="20" t="s">
        <v>81</v>
      </c>
      <c r="H47" s="20" t="s">
        <v>109</v>
      </c>
      <c r="I47" s="19" t="s">
        <v>105</v>
      </c>
      <c r="J47" s="19" t="s">
        <v>77</v>
      </c>
      <c r="K47" s="19" t="s">
        <v>109</v>
      </c>
      <c r="L47" s="19" t="s">
        <v>105</v>
      </c>
      <c r="M47" s="19" t="s">
        <v>74</v>
      </c>
      <c r="N47" s="19" t="s">
        <v>108</v>
      </c>
      <c r="O47" s="19" t="s">
        <v>105</v>
      </c>
      <c r="P47" s="19" t="s">
        <v>107</v>
      </c>
      <c r="Q47" s="33"/>
      <c r="R47" s="19"/>
      <c r="S47" s="115"/>
      <c r="T47" s="34"/>
    </row>
    <row r="48" spans="1:20" s="89" customFormat="1" x14ac:dyDescent="0.3">
      <c r="A48" s="27">
        <v>1</v>
      </c>
      <c r="B48" s="32" t="s">
        <v>41</v>
      </c>
      <c r="C48" s="32" t="s">
        <v>26</v>
      </c>
      <c r="D48" s="19" t="s">
        <v>112</v>
      </c>
      <c r="E48" s="19" t="s">
        <v>10</v>
      </c>
      <c r="F48" s="19" t="s">
        <v>72</v>
      </c>
      <c r="G48" s="20" t="s">
        <v>81</v>
      </c>
      <c r="H48" s="20" t="s">
        <v>109</v>
      </c>
      <c r="I48" s="19" t="s">
        <v>10</v>
      </c>
      <c r="J48" s="19" t="s">
        <v>77</v>
      </c>
      <c r="K48" s="19" t="s">
        <v>109</v>
      </c>
      <c r="L48" s="19" t="s">
        <v>10</v>
      </c>
      <c r="M48" s="19" t="s">
        <v>74</v>
      </c>
      <c r="N48" s="19" t="s">
        <v>108</v>
      </c>
      <c r="O48" s="19" t="s">
        <v>10</v>
      </c>
      <c r="P48" s="19" t="s">
        <v>72</v>
      </c>
      <c r="Q48" s="19"/>
      <c r="R48" s="19"/>
      <c r="S48" s="115"/>
      <c r="T48" s="36"/>
    </row>
    <row r="49" spans="1:20" s="89" customFormat="1" x14ac:dyDescent="0.3">
      <c r="A49" s="27">
        <v>1</v>
      </c>
      <c r="B49" s="32" t="s">
        <v>41</v>
      </c>
      <c r="C49" s="32" t="s">
        <v>26</v>
      </c>
      <c r="D49" s="19" t="s">
        <v>112</v>
      </c>
      <c r="E49" s="19" t="s">
        <v>31</v>
      </c>
      <c r="F49" s="19" t="s">
        <v>84</v>
      </c>
      <c r="G49" s="20" t="s">
        <v>81</v>
      </c>
      <c r="H49" s="20" t="s">
        <v>109</v>
      </c>
      <c r="I49" s="19" t="s">
        <v>31</v>
      </c>
      <c r="J49" s="19" t="s">
        <v>77</v>
      </c>
      <c r="K49" s="19" t="s">
        <v>109</v>
      </c>
      <c r="L49" s="19" t="s">
        <v>31</v>
      </c>
      <c r="M49" s="19"/>
      <c r="N49" s="19"/>
      <c r="O49" s="19"/>
      <c r="P49" s="19"/>
      <c r="Q49" s="21"/>
      <c r="R49" s="19"/>
      <c r="S49" s="115"/>
      <c r="T49" s="36"/>
    </row>
    <row r="50" spans="1:20" s="89" customFormat="1" x14ac:dyDescent="0.3">
      <c r="A50" s="27">
        <v>1</v>
      </c>
      <c r="B50" s="32" t="s">
        <v>41</v>
      </c>
      <c r="C50" s="32" t="s">
        <v>26</v>
      </c>
      <c r="D50" s="19" t="s">
        <v>112</v>
      </c>
      <c r="E50" s="19" t="s">
        <v>75</v>
      </c>
      <c r="F50" s="19" t="s">
        <v>62</v>
      </c>
      <c r="G50" s="20" t="s">
        <v>81</v>
      </c>
      <c r="H50" s="20" t="s">
        <v>109</v>
      </c>
      <c r="I50" s="19" t="s">
        <v>75</v>
      </c>
      <c r="J50" s="19" t="s">
        <v>77</v>
      </c>
      <c r="K50" s="19" t="s">
        <v>109</v>
      </c>
      <c r="L50" s="19" t="s">
        <v>75</v>
      </c>
      <c r="M50" s="19"/>
      <c r="N50" s="19"/>
      <c r="O50" s="19"/>
      <c r="P50" s="19"/>
      <c r="Q50" s="21"/>
      <c r="R50" s="19"/>
      <c r="S50" s="115"/>
      <c r="T50" s="36"/>
    </row>
    <row r="51" spans="1:20" s="89" customFormat="1" x14ac:dyDescent="0.3">
      <c r="A51" s="27">
        <v>1</v>
      </c>
      <c r="B51" s="32" t="s">
        <v>41</v>
      </c>
      <c r="C51" s="32" t="s">
        <v>26</v>
      </c>
      <c r="D51" s="19" t="s">
        <v>112</v>
      </c>
      <c r="E51" s="19" t="s">
        <v>78</v>
      </c>
      <c r="F51" s="19" t="s">
        <v>62</v>
      </c>
      <c r="G51" s="20" t="s">
        <v>81</v>
      </c>
      <c r="H51" s="20" t="s">
        <v>109</v>
      </c>
      <c r="I51" s="19" t="s">
        <v>78</v>
      </c>
      <c r="J51" s="19"/>
      <c r="K51" s="19"/>
      <c r="L51" s="19"/>
      <c r="M51" s="19"/>
      <c r="N51" s="19"/>
      <c r="O51" s="19"/>
      <c r="P51" s="19"/>
      <c r="Q51" s="21"/>
      <c r="R51" s="19"/>
      <c r="S51" s="115"/>
      <c r="T51" s="36"/>
    </row>
    <row r="52" spans="1:20" s="89" customFormat="1" x14ac:dyDescent="0.3">
      <c r="A52" s="27">
        <v>1</v>
      </c>
      <c r="B52" s="32" t="s">
        <v>41</v>
      </c>
      <c r="C52" s="32" t="s">
        <v>26</v>
      </c>
      <c r="D52" s="19" t="s">
        <v>112</v>
      </c>
      <c r="E52" s="19" t="s">
        <v>20</v>
      </c>
      <c r="F52" s="19" t="s">
        <v>62</v>
      </c>
      <c r="G52" s="20" t="s">
        <v>81</v>
      </c>
      <c r="H52" s="20" t="s">
        <v>109</v>
      </c>
      <c r="I52" s="19" t="s">
        <v>20</v>
      </c>
      <c r="J52" s="19"/>
      <c r="K52" s="19"/>
      <c r="L52" s="19"/>
      <c r="M52" s="19"/>
      <c r="N52" s="19"/>
      <c r="O52" s="19"/>
      <c r="P52" s="19"/>
      <c r="Q52" s="21"/>
      <c r="R52" s="19"/>
      <c r="S52" s="115"/>
      <c r="T52" s="36"/>
    </row>
    <row r="53" spans="1:20" s="89" customFormat="1" x14ac:dyDescent="0.3">
      <c r="A53" s="27">
        <v>1</v>
      </c>
      <c r="B53" s="32" t="s">
        <v>41</v>
      </c>
      <c r="C53" s="32" t="s">
        <v>26</v>
      </c>
      <c r="D53" s="19" t="s">
        <v>112</v>
      </c>
      <c r="E53" s="19" t="s">
        <v>79</v>
      </c>
      <c r="F53" s="19" t="s">
        <v>44</v>
      </c>
      <c r="G53" s="20" t="s">
        <v>81</v>
      </c>
      <c r="H53" s="20" t="s">
        <v>109</v>
      </c>
      <c r="I53" s="19" t="s">
        <v>79</v>
      </c>
      <c r="J53" s="19"/>
      <c r="K53" s="19"/>
      <c r="L53" s="19"/>
      <c r="M53" s="19"/>
      <c r="N53" s="19"/>
      <c r="O53" s="19"/>
      <c r="P53" s="19"/>
      <c r="Q53" s="21"/>
      <c r="R53" s="19"/>
      <c r="S53" s="115"/>
      <c r="T53" s="36"/>
    </row>
    <row r="54" spans="1:20" s="89" customFormat="1" x14ac:dyDescent="0.3">
      <c r="A54" s="27">
        <v>1</v>
      </c>
      <c r="B54" s="32" t="s">
        <v>41</v>
      </c>
      <c r="C54" s="32" t="s">
        <v>26</v>
      </c>
      <c r="D54" s="19" t="s">
        <v>112</v>
      </c>
      <c r="E54" s="19" t="s">
        <v>80</v>
      </c>
      <c r="F54" s="19" t="s">
        <v>44</v>
      </c>
      <c r="G54" s="20" t="s">
        <v>81</v>
      </c>
      <c r="H54" s="20" t="s">
        <v>109</v>
      </c>
      <c r="I54" s="19" t="s">
        <v>80</v>
      </c>
      <c r="J54" s="19"/>
      <c r="K54" s="19"/>
      <c r="L54" s="19"/>
      <c r="M54" s="19"/>
      <c r="N54" s="19"/>
      <c r="O54" s="19"/>
      <c r="P54" s="19"/>
      <c r="Q54" s="21"/>
      <c r="R54" s="19"/>
      <c r="S54" s="115"/>
      <c r="T54" s="36"/>
    </row>
    <row r="55" spans="1:20" s="89" customFormat="1" x14ac:dyDescent="0.3">
      <c r="A55" s="27">
        <v>1</v>
      </c>
      <c r="B55" s="37" t="s">
        <v>41</v>
      </c>
      <c r="C55" s="37" t="s">
        <v>86</v>
      </c>
      <c r="D55" s="22" t="s">
        <v>119</v>
      </c>
      <c r="E55" s="22" t="s">
        <v>117</v>
      </c>
      <c r="F55" s="22" t="s">
        <v>28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116"/>
      <c r="T55" s="39"/>
    </row>
    <row r="56" spans="1:20" s="89" customFormat="1" x14ac:dyDescent="0.3">
      <c r="A56" s="27">
        <v>1</v>
      </c>
      <c r="B56" s="37" t="s">
        <v>41</v>
      </c>
      <c r="C56" s="37" t="s">
        <v>86</v>
      </c>
      <c r="D56" s="22" t="s">
        <v>119</v>
      </c>
      <c r="E56" s="22" t="s">
        <v>118</v>
      </c>
      <c r="F56" s="22" t="s">
        <v>72</v>
      </c>
      <c r="G56" s="22" t="s">
        <v>81</v>
      </c>
      <c r="H56" s="22" t="s">
        <v>116</v>
      </c>
      <c r="I56" s="22" t="s">
        <v>113</v>
      </c>
      <c r="J56" s="22" t="s">
        <v>77</v>
      </c>
      <c r="K56" s="22" t="s">
        <v>116</v>
      </c>
      <c r="L56" s="22" t="s">
        <v>113</v>
      </c>
      <c r="M56" s="22" t="s">
        <v>74</v>
      </c>
      <c r="N56" s="22" t="s">
        <v>115</v>
      </c>
      <c r="O56" s="22" t="s">
        <v>113</v>
      </c>
      <c r="P56" s="22" t="s">
        <v>72</v>
      </c>
      <c r="Q56" s="22"/>
      <c r="R56" s="22"/>
      <c r="S56" s="117"/>
      <c r="T56" s="39"/>
    </row>
    <row r="57" spans="1:20" s="89" customFormat="1" x14ac:dyDescent="0.3">
      <c r="A57" s="27">
        <v>1</v>
      </c>
      <c r="B57" s="37" t="s">
        <v>41</v>
      </c>
      <c r="C57" s="37" t="s">
        <v>86</v>
      </c>
      <c r="D57" s="22" t="s">
        <v>119</v>
      </c>
      <c r="E57" s="22" t="s">
        <v>114</v>
      </c>
      <c r="F57" s="22" t="s">
        <v>72</v>
      </c>
      <c r="G57" s="22" t="s">
        <v>81</v>
      </c>
      <c r="H57" s="22" t="s">
        <v>116</v>
      </c>
      <c r="I57" s="22" t="s">
        <v>114</v>
      </c>
      <c r="J57" s="22" t="s">
        <v>77</v>
      </c>
      <c r="K57" s="22" t="s">
        <v>116</v>
      </c>
      <c r="L57" s="22" t="s">
        <v>114</v>
      </c>
      <c r="M57" s="22" t="s">
        <v>74</v>
      </c>
      <c r="N57" s="22" t="s">
        <v>115</v>
      </c>
      <c r="O57" s="22" t="s">
        <v>114</v>
      </c>
      <c r="P57" s="22" t="s">
        <v>72</v>
      </c>
      <c r="Q57" s="22"/>
      <c r="R57" s="22"/>
      <c r="S57" s="117"/>
      <c r="T57" s="39"/>
    </row>
    <row r="58" spans="1:20" s="89" customFormat="1" x14ac:dyDescent="0.3">
      <c r="A58" s="27">
        <v>1</v>
      </c>
      <c r="B58" s="37" t="s">
        <v>41</v>
      </c>
      <c r="C58" s="37" t="s">
        <v>86</v>
      </c>
      <c r="D58" s="22" t="s">
        <v>119</v>
      </c>
      <c r="E58" s="22" t="s">
        <v>31</v>
      </c>
      <c r="F58" s="22" t="s">
        <v>84</v>
      </c>
      <c r="G58" s="22" t="s">
        <v>81</v>
      </c>
      <c r="H58" s="22" t="s">
        <v>116</v>
      </c>
      <c r="I58" s="22" t="s">
        <v>31</v>
      </c>
      <c r="J58" s="22" t="s">
        <v>77</v>
      </c>
      <c r="K58" s="22" t="s">
        <v>116</v>
      </c>
      <c r="L58" s="22" t="s">
        <v>31</v>
      </c>
      <c r="M58" s="22"/>
      <c r="N58" s="22"/>
      <c r="O58" s="22"/>
      <c r="P58" s="22"/>
      <c r="Q58" s="22"/>
      <c r="R58" s="22"/>
      <c r="S58" s="117"/>
      <c r="T58" s="39"/>
    </row>
    <row r="59" spans="1:20" s="89" customFormat="1" x14ac:dyDescent="0.3">
      <c r="A59" s="27">
        <v>1</v>
      </c>
      <c r="B59" s="37" t="s">
        <v>41</v>
      </c>
      <c r="C59" s="37" t="s">
        <v>86</v>
      </c>
      <c r="D59" s="22" t="s">
        <v>119</v>
      </c>
      <c r="E59" s="22" t="s">
        <v>75</v>
      </c>
      <c r="F59" s="22" t="s">
        <v>62</v>
      </c>
      <c r="G59" s="22" t="s">
        <v>81</v>
      </c>
      <c r="H59" s="22" t="s">
        <v>116</v>
      </c>
      <c r="I59" s="22" t="s">
        <v>75</v>
      </c>
      <c r="J59" s="22" t="s">
        <v>77</v>
      </c>
      <c r="K59" s="22" t="s">
        <v>116</v>
      </c>
      <c r="L59" s="22" t="s">
        <v>75</v>
      </c>
      <c r="M59" s="22"/>
      <c r="N59" s="22"/>
      <c r="O59" s="22"/>
      <c r="P59" s="22"/>
      <c r="Q59" s="22"/>
      <c r="R59" s="22"/>
      <c r="S59" s="117"/>
      <c r="T59" s="39"/>
    </row>
    <row r="60" spans="1:20" s="89" customFormat="1" x14ac:dyDescent="0.3">
      <c r="A60" s="27">
        <v>1</v>
      </c>
      <c r="B60" s="37" t="s">
        <v>41</v>
      </c>
      <c r="C60" s="37" t="s">
        <v>86</v>
      </c>
      <c r="D60" s="22" t="s">
        <v>119</v>
      </c>
      <c r="E60" s="22" t="s">
        <v>78</v>
      </c>
      <c r="F60" s="22" t="s">
        <v>62</v>
      </c>
      <c r="G60" s="22" t="s">
        <v>81</v>
      </c>
      <c r="H60" s="22" t="s">
        <v>116</v>
      </c>
      <c r="I60" s="22" t="s">
        <v>78</v>
      </c>
      <c r="J60" s="22"/>
      <c r="K60" s="22"/>
      <c r="L60" s="22"/>
      <c r="M60" s="22"/>
      <c r="N60" s="22"/>
      <c r="O60" s="22"/>
      <c r="P60" s="22"/>
      <c r="Q60" s="22"/>
      <c r="R60" s="22"/>
      <c r="S60" s="117"/>
      <c r="T60" s="39"/>
    </row>
    <row r="61" spans="1:20" s="89" customFormat="1" x14ac:dyDescent="0.3">
      <c r="A61" s="27">
        <v>1</v>
      </c>
      <c r="B61" s="37" t="s">
        <v>41</v>
      </c>
      <c r="C61" s="37" t="s">
        <v>86</v>
      </c>
      <c r="D61" s="22" t="s">
        <v>119</v>
      </c>
      <c r="E61" s="22" t="s">
        <v>20</v>
      </c>
      <c r="F61" s="22" t="s">
        <v>62</v>
      </c>
      <c r="G61" s="22" t="s">
        <v>81</v>
      </c>
      <c r="H61" s="22" t="s">
        <v>116</v>
      </c>
      <c r="I61" s="22" t="s">
        <v>20</v>
      </c>
      <c r="J61" s="22"/>
      <c r="K61" s="22"/>
      <c r="L61" s="22"/>
      <c r="M61" s="22"/>
      <c r="N61" s="22"/>
      <c r="O61" s="22"/>
      <c r="P61" s="22"/>
      <c r="Q61" s="22"/>
      <c r="R61" s="22"/>
      <c r="S61" s="117"/>
      <c r="T61" s="39"/>
    </row>
    <row r="62" spans="1:20" s="89" customFormat="1" x14ac:dyDescent="0.3">
      <c r="A62" s="27">
        <v>1</v>
      </c>
      <c r="B62" s="37" t="s">
        <v>41</v>
      </c>
      <c r="C62" s="37" t="s">
        <v>86</v>
      </c>
      <c r="D62" s="22" t="s">
        <v>119</v>
      </c>
      <c r="E62" s="22" t="s">
        <v>79</v>
      </c>
      <c r="F62" s="22" t="s">
        <v>44</v>
      </c>
      <c r="G62" s="22" t="s">
        <v>81</v>
      </c>
      <c r="H62" s="22" t="s">
        <v>116</v>
      </c>
      <c r="I62" s="22" t="s">
        <v>79</v>
      </c>
      <c r="J62" s="22"/>
      <c r="K62" s="22"/>
      <c r="L62" s="22"/>
      <c r="M62" s="22"/>
      <c r="N62" s="22"/>
      <c r="O62" s="22"/>
      <c r="P62" s="22"/>
      <c r="Q62" s="38"/>
      <c r="R62" s="22"/>
      <c r="S62" s="117"/>
      <c r="T62" s="40"/>
    </row>
    <row r="63" spans="1:20" s="89" customFormat="1" x14ac:dyDescent="0.3">
      <c r="A63" s="27">
        <v>1</v>
      </c>
      <c r="B63" s="37" t="s">
        <v>41</v>
      </c>
      <c r="C63" s="37" t="s">
        <v>86</v>
      </c>
      <c r="D63" s="22" t="s">
        <v>119</v>
      </c>
      <c r="E63" s="22" t="s">
        <v>80</v>
      </c>
      <c r="F63" s="22" t="s">
        <v>44</v>
      </c>
      <c r="G63" s="22" t="s">
        <v>81</v>
      </c>
      <c r="H63" s="22" t="s">
        <v>116</v>
      </c>
      <c r="I63" s="22" t="s">
        <v>80</v>
      </c>
      <c r="J63" s="22"/>
      <c r="K63" s="22"/>
      <c r="L63" s="22"/>
      <c r="M63" s="22"/>
      <c r="N63" s="22"/>
      <c r="O63" s="22"/>
      <c r="P63" s="22"/>
      <c r="Q63" s="38"/>
      <c r="R63" s="22"/>
      <c r="S63" s="117"/>
      <c r="T63" s="40"/>
    </row>
    <row r="64" spans="1:20" s="89" customFormat="1" x14ac:dyDescent="0.3">
      <c r="A64" s="27">
        <v>1</v>
      </c>
      <c r="B64" s="31" t="s">
        <v>41</v>
      </c>
      <c r="C64" s="31" t="s">
        <v>86</v>
      </c>
      <c r="D64" s="31" t="s">
        <v>182</v>
      </c>
      <c r="E64" s="31" t="s">
        <v>323</v>
      </c>
      <c r="F64" s="31" t="s">
        <v>28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117"/>
      <c r="T64" s="98"/>
    </row>
    <row r="65" spans="1:20" s="89" customFormat="1" x14ac:dyDescent="0.3">
      <c r="A65" s="27">
        <v>1</v>
      </c>
      <c r="B65" s="31" t="s">
        <v>41</v>
      </c>
      <c r="C65" s="31" t="s">
        <v>86</v>
      </c>
      <c r="D65" s="31" t="s">
        <v>182</v>
      </c>
      <c r="E65" s="31" t="s">
        <v>183</v>
      </c>
      <c r="F65" s="31" t="s">
        <v>72</v>
      </c>
      <c r="G65" s="31" t="s">
        <v>81</v>
      </c>
      <c r="H65" s="31" t="s">
        <v>187</v>
      </c>
      <c r="I65" s="31" t="s">
        <v>185</v>
      </c>
      <c r="J65" s="31" t="s">
        <v>77</v>
      </c>
      <c r="K65" s="31" t="s">
        <v>187</v>
      </c>
      <c r="L65" s="31" t="s">
        <v>185</v>
      </c>
      <c r="M65" s="31" t="s">
        <v>74</v>
      </c>
      <c r="N65" s="31" t="s">
        <v>186</v>
      </c>
      <c r="O65" s="31" t="s">
        <v>185</v>
      </c>
      <c r="P65" s="31" t="s">
        <v>72</v>
      </c>
      <c r="Q65" s="31"/>
      <c r="R65" s="31"/>
      <c r="S65" s="117"/>
      <c r="T65" s="98"/>
    </row>
    <row r="66" spans="1:20" s="89" customFormat="1" x14ac:dyDescent="0.3">
      <c r="A66" s="27">
        <v>1</v>
      </c>
      <c r="B66" s="31" t="s">
        <v>41</v>
      </c>
      <c r="C66" s="31" t="s">
        <v>86</v>
      </c>
      <c r="D66" s="31" t="s">
        <v>182</v>
      </c>
      <c r="E66" s="31" t="s">
        <v>184</v>
      </c>
      <c r="F66" s="31" t="s">
        <v>72</v>
      </c>
      <c r="G66" s="31" t="s">
        <v>81</v>
      </c>
      <c r="H66" s="31" t="s">
        <v>187</v>
      </c>
      <c r="I66" s="31" t="s">
        <v>184</v>
      </c>
      <c r="J66" s="31" t="s">
        <v>77</v>
      </c>
      <c r="K66" s="31" t="s">
        <v>187</v>
      </c>
      <c r="L66" s="31" t="s">
        <v>184</v>
      </c>
      <c r="M66" s="31" t="s">
        <v>74</v>
      </c>
      <c r="N66" s="31" t="s">
        <v>186</v>
      </c>
      <c r="O66" s="31" t="s">
        <v>184</v>
      </c>
      <c r="P66" s="31" t="s">
        <v>72</v>
      </c>
      <c r="Q66" s="31"/>
      <c r="R66" s="31"/>
      <c r="S66" s="117"/>
      <c r="T66" s="98"/>
    </row>
    <row r="67" spans="1:20" s="89" customFormat="1" x14ac:dyDescent="0.3">
      <c r="A67" s="27">
        <v>1</v>
      </c>
      <c r="B67" s="31" t="s">
        <v>41</v>
      </c>
      <c r="C67" s="31" t="s">
        <v>86</v>
      </c>
      <c r="D67" s="31" t="s">
        <v>182</v>
      </c>
      <c r="E67" s="31" t="s">
        <v>31</v>
      </c>
      <c r="F67" s="31" t="s">
        <v>84</v>
      </c>
      <c r="G67" s="31" t="s">
        <v>81</v>
      </c>
      <c r="H67" s="31" t="s">
        <v>187</v>
      </c>
      <c r="I67" s="31" t="s">
        <v>31</v>
      </c>
      <c r="J67" s="31" t="s">
        <v>77</v>
      </c>
      <c r="K67" s="31" t="s">
        <v>187</v>
      </c>
      <c r="L67" s="31" t="s">
        <v>31</v>
      </c>
      <c r="M67" s="31"/>
      <c r="N67" s="31"/>
      <c r="O67" s="31"/>
      <c r="P67" s="31"/>
      <c r="Q67" s="31"/>
      <c r="R67" s="31"/>
      <c r="S67" s="117"/>
      <c r="T67" s="98"/>
    </row>
    <row r="68" spans="1:20" s="89" customFormat="1" x14ac:dyDescent="0.3">
      <c r="A68" s="27">
        <v>1</v>
      </c>
      <c r="B68" s="31" t="s">
        <v>41</v>
      </c>
      <c r="C68" s="31" t="s">
        <v>86</v>
      </c>
      <c r="D68" s="31" t="s">
        <v>182</v>
      </c>
      <c r="E68" s="31" t="s">
        <v>75</v>
      </c>
      <c r="F68" s="31" t="s">
        <v>62</v>
      </c>
      <c r="G68" s="31" t="s">
        <v>81</v>
      </c>
      <c r="H68" s="31" t="s">
        <v>187</v>
      </c>
      <c r="I68" s="31" t="s">
        <v>75</v>
      </c>
      <c r="J68" s="31" t="s">
        <v>77</v>
      </c>
      <c r="K68" s="31" t="s">
        <v>187</v>
      </c>
      <c r="L68" s="31" t="s">
        <v>75</v>
      </c>
      <c r="M68" s="31"/>
      <c r="N68" s="31"/>
      <c r="O68" s="31"/>
      <c r="P68" s="31"/>
      <c r="Q68" s="31"/>
      <c r="R68" s="31"/>
      <c r="S68" s="117"/>
      <c r="T68" s="98"/>
    </row>
    <row r="69" spans="1:20" s="89" customFormat="1" x14ac:dyDescent="0.3">
      <c r="A69" s="27">
        <v>1</v>
      </c>
      <c r="B69" s="31" t="s">
        <v>41</v>
      </c>
      <c r="C69" s="31" t="s">
        <v>86</v>
      </c>
      <c r="D69" s="31" t="s">
        <v>182</v>
      </c>
      <c r="E69" s="31" t="s">
        <v>78</v>
      </c>
      <c r="F69" s="31" t="s">
        <v>62</v>
      </c>
      <c r="G69" s="31" t="s">
        <v>81</v>
      </c>
      <c r="H69" s="31" t="s">
        <v>187</v>
      </c>
      <c r="I69" s="31" t="s">
        <v>78</v>
      </c>
      <c r="J69" s="31"/>
      <c r="K69" s="31"/>
      <c r="L69" s="31"/>
      <c r="M69" s="31"/>
      <c r="N69" s="31"/>
      <c r="O69" s="31"/>
      <c r="P69" s="31"/>
      <c r="Q69" s="31"/>
      <c r="R69" s="31"/>
      <c r="S69" s="117"/>
      <c r="T69" s="98"/>
    </row>
    <row r="70" spans="1:20" s="89" customFormat="1" x14ac:dyDescent="0.3">
      <c r="A70" s="27">
        <v>1</v>
      </c>
      <c r="B70" s="31" t="s">
        <v>41</v>
      </c>
      <c r="C70" s="31" t="s">
        <v>86</v>
      </c>
      <c r="D70" s="31" t="s">
        <v>182</v>
      </c>
      <c r="E70" s="31" t="s">
        <v>20</v>
      </c>
      <c r="F70" s="31" t="s">
        <v>62</v>
      </c>
      <c r="G70" s="31" t="s">
        <v>81</v>
      </c>
      <c r="H70" s="31" t="s">
        <v>187</v>
      </c>
      <c r="I70" s="31" t="s">
        <v>20</v>
      </c>
      <c r="J70" s="31"/>
      <c r="K70" s="31"/>
      <c r="L70" s="31"/>
      <c r="M70" s="31"/>
      <c r="N70" s="31"/>
      <c r="O70" s="31"/>
      <c r="P70" s="31"/>
      <c r="Q70" s="31"/>
      <c r="R70" s="31"/>
      <c r="S70" s="117"/>
      <c r="T70" s="98"/>
    </row>
    <row r="71" spans="1:20" s="89" customFormat="1" x14ac:dyDescent="0.3">
      <c r="A71" s="27">
        <v>1</v>
      </c>
      <c r="B71" s="31" t="s">
        <v>41</v>
      </c>
      <c r="C71" s="31" t="s">
        <v>86</v>
      </c>
      <c r="D71" s="31" t="s">
        <v>182</v>
      </c>
      <c r="E71" s="31" t="s">
        <v>79</v>
      </c>
      <c r="F71" s="31" t="s">
        <v>44</v>
      </c>
      <c r="G71" s="31" t="s">
        <v>81</v>
      </c>
      <c r="H71" s="31" t="s">
        <v>187</v>
      </c>
      <c r="I71" s="31" t="s">
        <v>79</v>
      </c>
      <c r="J71" s="31"/>
      <c r="K71" s="31"/>
      <c r="L71" s="31"/>
      <c r="M71" s="31"/>
      <c r="N71" s="31"/>
      <c r="O71" s="31"/>
      <c r="P71" s="31"/>
      <c r="Q71" s="31"/>
      <c r="R71" s="31"/>
      <c r="S71" s="117"/>
      <c r="T71" s="98"/>
    </row>
    <row r="72" spans="1:20" s="89" customFormat="1" x14ac:dyDescent="0.3">
      <c r="A72" s="27">
        <v>1</v>
      </c>
      <c r="B72" s="31" t="s">
        <v>41</v>
      </c>
      <c r="C72" s="31" t="s">
        <v>86</v>
      </c>
      <c r="D72" s="31" t="s">
        <v>182</v>
      </c>
      <c r="E72" s="31" t="s">
        <v>80</v>
      </c>
      <c r="F72" s="31" t="s">
        <v>44</v>
      </c>
      <c r="G72" s="31" t="s">
        <v>81</v>
      </c>
      <c r="H72" s="31" t="s">
        <v>187</v>
      </c>
      <c r="I72" s="31" t="s">
        <v>80</v>
      </c>
      <c r="J72" s="31"/>
      <c r="K72" s="31"/>
      <c r="L72" s="31"/>
      <c r="M72" s="31"/>
      <c r="N72" s="31"/>
      <c r="O72" s="31"/>
      <c r="P72" s="31"/>
      <c r="Q72" s="31"/>
      <c r="R72" s="31"/>
      <c r="S72" s="117"/>
      <c r="T72" s="98"/>
    </row>
    <row r="73" spans="1:20" s="89" customFormat="1" ht="13.95" customHeight="1" x14ac:dyDescent="0.3">
      <c r="A73" s="27">
        <v>1</v>
      </c>
      <c r="B73" s="42" t="s">
        <v>41</v>
      </c>
      <c r="C73" s="42" t="s">
        <v>26</v>
      </c>
      <c r="D73" s="43" t="s">
        <v>29</v>
      </c>
      <c r="E73" s="43" t="s">
        <v>14</v>
      </c>
      <c r="F73" s="43" t="s">
        <v>28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2"/>
      <c r="T73" s="87"/>
    </row>
    <row r="74" spans="1:20" s="89" customFormat="1" x14ac:dyDescent="0.3">
      <c r="A74" s="27">
        <v>1</v>
      </c>
      <c r="B74" s="42" t="s">
        <v>41</v>
      </c>
      <c r="C74" s="42" t="s">
        <v>26</v>
      </c>
      <c r="D74" s="43" t="s">
        <v>29</v>
      </c>
      <c r="E74" s="43" t="s">
        <v>120</v>
      </c>
      <c r="F74" s="43" t="s">
        <v>152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2"/>
      <c r="T74" s="44"/>
    </row>
    <row r="75" spans="1:20" s="89" customFormat="1" x14ac:dyDescent="0.3">
      <c r="A75" s="27">
        <v>1</v>
      </c>
      <c r="B75" s="42" t="s">
        <v>41</v>
      </c>
      <c r="C75" s="42" t="s">
        <v>26</v>
      </c>
      <c r="D75" s="43" t="s">
        <v>29</v>
      </c>
      <c r="E75" s="43" t="s">
        <v>13</v>
      </c>
      <c r="F75" s="43" t="s">
        <v>62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2"/>
      <c r="T75" s="44"/>
    </row>
    <row r="76" spans="1:20" s="89" customFormat="1" x14ac:dyDescent="0.3">
      <c r="A76" s="27">
        <v>1</v>
      </c>
      <c r="B76" s="42" t="s">
        <v>41</v>
      </c>
      <c r="C76" s="42" t="s">
        <v>26</v>
      </c>
      <c r="D76" s="43" t="s">
        <v>29</v>
      </c>
      <c r="E76" s="43" t="s">
        <v>16</v>
      </c>
      <c r="F76" s="43" t="s">
        <v>153</v>
      </c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2"/>
      <c r="T76" s="44"/>
    </row>
    <row r="77" spans="1:20" s="89" customFormat="1" x14ac:dyDescent="0.3">
      <c r="A77" s="27">
        <v>1</v>
      </c>
      <c r="B77" s="42" t="s">
        <v>41</v>
      </c>
      <c r="C77" s="42" t="s">
        <v>26</v>
      </c>
      <c r="D77" s="43" t="s">
        <v>29</v>
      </c>
      <c r="E77" s="43" t="s">
        <v>121</v>
      </c>
      <c r="F77" s="43" t="s">
        <v>154</v>
      </c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2"/>
      <c r="T77" s="44"/>
    </row>
    <row r="78" spans="1:20" s="89" customFormat="1" x14ac:dyDescent="0.3">
      <c r="A78" s="27">
        <v>1</v>
      </c>
      <c r="B78" s="42" t="s">
        <v>41</v>
      </c>
      <c r="C78" s="42" t="s">
        <v>26</v>
      </c>
      <c r="D78" s="43" t="s">
        <v>29</v>
      </c>
      <c r="E78" s="43" t="s">
        <v>17</v>
      </c>
      <c r="F78" s="43" t="s">
        <v>155</v>
      </c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2"/>
      <c r="T78" s="44"/>
    </row>
    <row r="79" spans="1:20" s="89" customFormat="1" x14ac:dyDescent="0.3">
      <c r="A79" s="27">
        <v>1</v>
      </c>
      <c r="B79" s="42" t="s">
        <v>41</v>
      </c>
      <c r="C79" s="42" t="s">
        <v>26</v>
      </c>
      <c r="D79" s="43" t="s">
        <v>29</v>
      </c>
      <c r="E79" s="43" t="s">
        <v>148</v>
      </c>
      <c r="F79" s="43" t="s">
        <v>73</v>
      </c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2"/>
      <c r="T79" s="44"/>
    </row>
    <row r="80" spans="1:20" s="89" customFormat="1" x14ac:dyDescent="0.3">
      <c r="A80" s="27">
        <v>1</v>
      </c>
      <c r="B80" s="42" t="s">
        <v>41</v>
      </c>
      <c r="C80" s="42" t="s">
        <v>26</v>
      </c>
      <c r="D80" s="43" t="s">
        <v>29</v>
      </c>
      <c r="E80" s="43" t="s">
        <v>122</v>
      </c>
      <c r="F80" s="43" t="s">
        <v>154</v>
      </c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2"/>
      <c r="T80" s="44"/>
    </row>
    <row r="81" spans="1:20" s="89" customFormat="1" x14ac:dyDescent="0.3">
      <c r="A81" s="27">
        <v>1</v>
      </c>
      <c r="B81" s="42" t="s">
        <v>41</v>
      </c>
      <c r="C81" s="42" t="s">
        <v>26</v>
      </c>
      <c r="D81" s="43" t="s">
        <v>29</v>
      </c>
      <c r="E81" s="43" t="s">
        <v>149</v>
      </c>
      <c r="F81" s="43" t="s">
        <v>154</v>
      </c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2"/>
      <c r="T81" s="44"/>
    </row>
    <row r="82" spans="1:20" s="89" customFormat="1" x14ac:dyDescent="0.3">
      <c r="A82" s="27">
        <v>1</v>
      </c>
      <c r="B82" s="42" t="s">
        <v>41</v>
      </c>
      <c r="C82" s="42" t="s">
        <v>26</v>
      </c>
      <c r="D82" s="43" t="s">
        <v>29</v>
      </c>
      <c r="E82" s="43" t="s">
        <v>123</v>
      </c>
      <c r="F82" s="43" t="s">
        <v>156</v>
      </c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2"/>
      <c r="T82" s="44"/>
    </row>
    <row r="83" spans="1:20" s="89" customFormat="1" x14ac:dyDescent="0.3">
      <c r="A83" s="27">
        <v>1</v>
      </c>
      <c r="B83" s="42" t="s">
        <v>41</v>
      </c>
      <c r="C83" s="42" t="s">
        <v>26</v>
      </c>
      <c r="D83" s="43" t="s">
        <v>29</v>
      </c>
      <c r="E83" s="43" t="s">
        <v>124</v>
      </c>
      <c r="F83" s="43" t="s">
        <v>157</v>
      </c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2"/>
      <c r="T83" s="44"/>
    </row>
    <row r="84" spans="1:20" s="89" customFormat="1" x14ac:dyDescent="0.3">
      <c r="A84" s="27">
        <v>1</v>
      </c>
      <c r="B84" s="42" t="s">
        <v>41</v>
      </c>
      <c r="C84" s="42" t="s">
        <v>26</v>
      </c>
      <c r="D84" s="43" t="s">
        <v>29</v>
      </c>
      <c r="E84" s="43" t="s">
        <v>125</v>
      </c>
      <c r="F84" s="43" t="s">
        <v>158</v>
      </c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2"/>
      <c r="T84" s="44"/>
    </row>
    <row r="85" spans="1:20" s="89" customFormat="1" x14ac:dyDescent="0.3">
      <c r="A85" s="27">
        <v>1</v>
      </c>
      <c r="B85" s="42" t="s">
        <v>41</v>
      </c>
      <c r="C85" s="42" t="s">
        <v>26</v>
      </c>
      <c r="D85" s="43" t="s">
        <v>29</v>
      </c>
      <c r="E85" s="43" t="s">
        <v>126</v>
      </c>
      <c r="F85" s="43" t="s">
        <v>156</v>
      </c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2"/>
      <c r="T85" s="44"/>
    </row>
    <row r="86" spans="1:20" s="89" customFormat="1" x14ac:dyDescent="0.3">
      <c r="A86" s="27">
        <v>1</v>
      </c>
      <c r="B86" s="42" t="s">
        <v>41</v>
      </c>
      <c r="C86" s="42" t="s">
        <v>26</v>
      </c>
      <c r="D86" s="43" t="s">
        <v>29</v>
      </c>
      <c r="E86" s="43" t="s">
        <v>127</v>
      </c>
      <c r="F86" s="43" t="s">
        <v>154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2"/>
      <c r="T86" s="44"/>
    </row>
    <row r="87" spans="1:20" s="89" customFormat="1" x14ac:dyDescent="0.3">
      <c r="A87" s="27">
        <v>1</v>
      </c>
      <c r="B87" s="42" t="s">
        <v>41</v>
      </c>
      <c r="C87" s="42" t="s">
        <v>26</v>
      </c>
      <c r="D87" s="43" t="s">
        <v>29</v>
      </c>
      <c r="E87" s="43" t="s">
        <v>15</v>
      </c>
      <c r="F87" s="43" t="s">
        <v>154</v>
      </c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2"/>
      <c r="T87" s="44"/>
    </row>
    <row r="88" spans="1:20" s="89" customFormat="1" x14ac:dyDescent="0.3">
      <c r="A88" s="27">
        <v>1</v>
      </c>
      <c r="B88" s="42" t="s">
        <v>41</v>
      </c>
      <c r="C88" s="42" t="s">
        <v>26</v>
      </c>
      <c r="D88" s="43" t="s">
        <v>29</v>
      </c>
      <c r="E88" s="43" t="s">
        <v>18</v>
      </c>
      <c r="F88" s="43" t="s">
        <v>155</v>
      </c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2"/>
      <c r="T88" s="44"/>
    </row>
    <row r="89" spans="1:20" s="89" customFormat="1" x14ac:dyDescent="0.3">
      <c r="A89" s="27">
        <v>1</v>
      </c>
      <c r="B89" s="42" t="s">
        <v>41</v>
      </c>
      <c r="C89" s="42" t="s">
        <v>26</v>
      </c>
      <c r="D89" s="43" t="s">
        <v>29</v>
      </c>
      <c r="E89" s="43" t="s">
        <v>128</v>
      </c>
      <c r="F89" s="43" t="s">
        <v>154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2"/>
      <c r="T89" s="44"/>
    </row>
    <row r="90" spans="1:20" s="89" customFormat="1" x14ac:dyDescent="0.3">
      <c r="A90" s="27">
        <v>1</v>
      </c>
      <c r="B90" s="42" t="s">
        <v>41</v>
      </c>
      <c r="C90" s="42" t="s">
        <v>26</v>
      </c>
      <c r="D90" s="43" t="s">
        <v>29</v>
      </c>
      <c r="E90" s="43" t="s">
        <v>19</v>
      </c>
      <c r="F90" s="43" t="s">
        <v>73</v>
      </c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2"/>
      <c r="T90" s="44"/>
    </row>
    <row r="91" spans="1:20" s="89" customFormat="1" x14ac:dyDescent="0.3">
      <c r="A91" s="27">
        <v>1</v>
      </c>
      <c r="B91" s="42" t="s">
        <v>41</v>
      </c>
      <c r="C91" s="42" t="s">
        <v>26</v>
      </c>
      <c r="D91" s="43" t="s">
        <v>29</v>
      </c>
      <c r="E91" s="43" t="s">
        <v>129</v>
      </c>
      <c r="F91" s="43" t="s">
        <v>155</v>
      </c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2"/>
      <c r="T91" s="44"/>
    </row>
    <row r="92" spans="1:20" s="89" customFormat="1" x14ac:dyDescent="0.3">
      <c r="A92" s="27">
        <v>1</v>
      </c>
      <c r="B92" s="42" t="s">
        <v>41</v>
      </c>
      <c r="C92" s="42" t="s">
        <v>26</v>
      </c>
      <c r="D92" s="43" t="s">
        <v>29</v>
      </c>
      <c r="E92" s="43" t="s">
        <v>130</v>
      </c>
      <c r="F92" s="43" t="s">
        <v>155</v>
      </c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2"/>
      <c r="T92" s="44"/>
    </row>
    <row r="93" spans="1:20" s="89" customFormat="1" x14ac:dyDescent="0.3">
      <c r="A93" s="27">
        <v>1</v>
      </c>
      <c r="B93" s="42" t="s">
        <v>41</v>
      </c>
      <c r="C93" s="42" t="s">
        <v>26</v>
      </c>
      <c r="D93" s="43" t="s">
        <v>29</v>
      </c>
      <c r="E93" s="43" t="s">
        <v>131</v>
      </c>
      <c r="F93" s="43" t="s">
        <v>155</v>
      </c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2"/>
      <c r="T93" s="44"/>
    </row>
    <row r="94" spans="1:20" s="89" customFormat="1" x14ac:dyDescent="0.3">
      <c r="A94" s="27">
        <v>1</v>
      </c>
      <c r="B94" s="42" t="s">
        <v>41</v>
      </c>
      <c r="C94" s="42" t="s">
        <v>26</v>
      </c>
      <c r="D94" s="43" t="s">
        <v>29</v>
      </c>
      <c r="E94" s="43" t="s">
        <v>132</v>
      </c>
      <c r="F94" s="43" t="s">
        <v>159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2"/>
      <c r="T94" s="44"/>
    </row>
    <row r="95" spans="1:20" s="89" customFormat="1" x14ac:dyDescent="0.3">
      <c r="A95" s="27">
        <v>1</v>
      </c>
      <c r="B95" s="42" t="s">
        <v>41</v>
      </c>
      <c r="C95" s="42" t="s">
        <v>26</v>
      </c>
      <c r="D95" s="43" t="s">
        <v>29</v>
      </c>
      <c r="E95" s="43" t="s">
        <v>133</v>
      </c>
      <c r="F95" s="43" t="s">
        <v>160</v>
      </c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2"/>
      <c r="T95" s="44"/>
    </row>
    <row r="96" spans="1:20" s="89" customFormat="1" x14ac:dyDescent="0.3">
      <c r="A96" s="27">
        <v>1</v>
      </c>
      <c r="B96" s="42" t="s">
        <v>41</v>
      </c>
      <c r="C96" s="42" t="s">
        <v>26</v>
      </c>
      <c r="D96" s="43" t="s">
        <v>29</v>
      </c>
      <c r="E96" s="43" t="s">
        <v>134</v>
      </c>
      <c r="F96" s="43" t="s">
        <v>153</v>
      </c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2"/>
      <c r="T96" s="44"/>
    </row>
    <row r="97" spans="1:20" s="89" customFormat="1" x14ac:dyDescent="0.3">
      <c r="A97" s="27">
        <v>1</v>
      </c>
      <c r="B97" s="42" t="s">
        <v>41</v>
      </c>
      <c r="C97" s="42" t="s">
        <v>26</v>
      </c>
      <c r="D97" s="43" t="s">
        <v>29</v>
      </c>
      <c r="E97" s="43" t="s">
        <v>135</v>
      </c>
      <c r="F97" s="43" t="s">
        <v>159</v>
      </c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2"/>
      <c r="T97" s="44"/>
    </row>
    <row r="98" spans="1:20" s="89" customFormat="1" x14ac:dyDescent="0.3">
      <c r="A98" s="27">
        <v>1</v>
      </c>
      <c r="B98" s="42" t="s">
        <v>41</v>
      </c>
      <c r="C98" s="42" t="s">
        <v>26</v>
      </c>
      <c r="D98" s="43" t="s">
        <v>29</v>
      </c>
      <c r="E98" s="43" t="s">
        <v>136</v>
      </c>
      <c r="F98" s="43" t="s">
        <v>62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2"/>
      <c r="T98" s="44"/>
    </row>
    <row r="99" spans="1:20" s="89" customFormat="1" x14ac:dyDescent="0.3">
      <c r="A99" s="27">
        <v>1</v>
      </c>
      <c r="B99" s="42" t="s">
        <v>41</v>
      </c>
      <c r="C99" s="42" t="s">
        <v>26</v>
      </c>
      <c r="D99" s="43" t="s">
        <v>29</v>
      </c>
      <c r="E99" s="43" t="s">
        <v>137</v>
      </c>
      <c r="F99" s="43" t="s">
        <v>152</v>
      </c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2"/>
      <c r="T99" s="44"/>
    </row>
    <row r="100" spans="1:20" s="89" customFormat="1" x14ac:dyDescent="0.3">
      <c r="A100" s="27">
        <v>1</v>
      </c>
      <c r="B100" s="42" t="s">
        <v>41</v>
      </c>
      <c r="C100" s="42" t="s">
        <v>26</v>
      </c>
      <c r="D100" s="43" t="s">
        <v>29</v>
      </c>
      <c r="E100" s="43" t="s">
        <v>150</v>
      </c>
      <c r="F100" s="43" t="s">
        <v>62</v>
      </c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2"/>
      <c r="T100" s="44"/>
    </row>
    <row r="101" spans="1:20" s="89" customFormat="1" x14ac:dyDescent="0.3">
      <c r="A101" s="27">
        <v>1</v>
      </c>
      <c r="B101" s="42" t="s">
        <v>41</v>
      </c>
      <c r="C101" s="42" t="s">
        <v>26</v>
      </c>
      <c r="D101" s="43" t="s">
        <v>29</v>
      </c>
      <c r="E101" s="43" t="s">
        <v>138</v>
      </c>
      <c r="F101" s="43" t="s">
        <v>152</v>
      </c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2"/>
      <c r="T101" s="44"/>
    </row>
    <row r="102" spans="1:20" s="89" customFormat="1" x14ac:dyDescent="0.3">
      <c r="A102" s="27">
        <v>1</v>
      </c>
      <c r="B102" s="42" t="s">
        <v>41</v>
      </c>
      <c r="C102" s="42" t="s">
        <v>26</v>
      </c>
      <c r="D102" s="43" t="s">
        <v>29</v>
      </c>
      <c r="E102" s="43" t="s">
        <v>139</v>
      </c>
      <c r="F102" s="43" t="s">
        <v>62</v>
      </c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2"/>
      <c r="T102" s="44"/>
    </row>
    <row r="103" spans="1:20" s="89" customFormat="1" x14ac:dyDescent="0.3">
      <c r="A103" s="27">
        <v>1</v>
      </c>
      <c r="B103" s="42" t="s">
        <v>41</v>
      </c>
      <c r="C103" s="42" t="s">
        <v>26</v>
      </c>
      <c r="D103" s="43" t="s">
        <v>29</v>
      </c>
      <c r="E103" s="43" t="s">
        <v>140</v>
      </c>
      <c r="F103" s="43" t="s">
        <v>152</v>
      </c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2"/>
      <c r="T103" s="44"/>
    </row>
    <row r="104" spans="1:20" s="89" customFormat="1" x14ac:dyDescent="0.3">
      <c r="A104" s="27">
        <v>1</v>
      </c>
      <c r="B104" s="42" t="s">
        <v>41</v>
      </c>
      <c r="C104" s="42" t="s">
        <v>26</v>
      </c>
      <c r="D104" s="43" t="s">
        <v>29</v>
      </c>
      <c r="E104" s="43" t="s">
        <v>141</v>
      </c>
      <c r="F104" s="43" t="s">
        <v>62</v>
      </c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2"/>
      <c r="T104" s="44"/>
    </row>
    <row r="105" spans="1:20" s="89" customFormat="1" x14ac:dyDescent="0.3">
      <c r="A105" s="27">
        <v>1</v>
      </c>
      <c r="B105" s="42" t="s">
        <v>41</v>
      </c>
      <c r="C105" s="42" t="s">
        <v>26</v>
      </c>
      <c r="D105" s="43" t="s">
        <v>29</v>
      </c>
      <c r="E105" s="43" t="s">
        <v>142</v>
      </c>
      <c r="F105" s="43" t="s">
        <v>152</v>
      </c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2"/>
      <c r="T105" s="44"/>
    </row>
    <row r="106" spans="1:20" s="89" customFormat="1" x14ac:dyDescent="0.3">
      <c r="A106" s="27">
        <v>1</v>
      </c>
      <c r="B106" s="42" t="s">
        <v>41</v>
      </c>
      <c r="C106" s="42" t="s">
        <v>26</v>
      </c>
      <c r="D106" s="43" t="s">
        <v>29</v>
      </c>
      <c r="E106" s="43" t="s">
        <v>143</v>
      </c>
      <c r="F106" s="43" t="s">
        <v>62</v>
      </c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2"/>
      <c r="T106" s="44"/>
    </row>
    <row r="107" spans="1:20" s="89" customFormat="1" x14ac:dyDescent="0.3">
      <c r="A107" s="27">
        <v>1</v>
      </c>
      <c r="B107" s="42" t="s">
        <v>41</v>
      </c>
      <c r="C107" s="42" t="s">
        <v>26</v>
      </c>
      <c r="D107" s="43" t="s">
        <v>29</v>
      </c>
      <c r="E107" s="43" t="s">
        <v>144</v>
      </c>
      <c r="F107" s="43" t="s">
        <v>152</v>
      </c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2"/>
      <c r="T107" s="44"/>
    </row>
    <row r="108" spans="1:20" s="89" customFormat="1" x14ac:dyDescent="0.3">
      <c r="A108" s="27">
        <v>1</v>
      </c>
      <c r="B108" s="42" t="s">
        <v>41</v>
      </c>
      <c r="C108" s="42" t="s">
        <v>26</v>
      </c>
      <c r="D108" s="43" t="s">
        <v>29</v>
      </c>
      <c r="E108" s="43" t="s">
        <v>145</v>
      </c>
      <c r="F108" s="43" t="s">
        <v>62</v>
      </c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2"/>
      <c r="T108" s="44"/>
    </row>
    <row r="109" spans="1:20" s="89" customFormat="1" x14ac:dyDescent="0.3">
      <c r="A109" s="27">
        <v>1</v>
      </c>
      <c r="B109" s="42" t="s">
        <v>41</v>
      </c>
      <c r="C109" s="42" t="s">
        <v>26</v>
      </c>
      <c r="D109" s="43" t="s">
        <v>29</v>
      </c>
      <c r="E109" s="43" t="s">
        <v>146</v>
      </c>
      <c r="F109" s="43" t="s">
        <v>161</v>
      </c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2"/>
      <c r="T109" s="44"/>
    </row>
    <row r="110" spans="1:20" s="89" customFormat="1" x14ac:dyDescent="0.3">
      <c r="A110" s="27">
        <v>1</v>
      </c>
      <c r="B110" s="42" t="s">
        <v>41</v>
      </c>
      <c r="C110" s="42" t="s">
        <v>26</v>
      </c>
      <c r="D110" s="43" t="s">
        <v>29</v>
      </c>
      <c r="E110" s="43" t="s">
        <v>147</v>
      </c>
      <c r="F110" s="43" t="s">
        <v>107</v>
      </c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2"/>
      <c r="T110" s="44"/>
    </row>
    <row r="111" spans="1:20" s="89" customFormat="1" x14ac:dyDescent="0.3">
      <c r="A111" s="27">
        <v>1</v>
      </c>
      <c r="B111" s="42" t="s">
        <v>41</v>
      </c>
      <c r="C111" s="42" t="s">
        <v>26</v>
      </c>
      <c r="D111" s="43" t="s">
        <v>29</v>
      </c>
      <c r="E111" s="43" t="s">
        <v>151</v>
      </c>
      <c r="F111" s="43" t="s">
        <v>72</v>
      </c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2"/>
      <c r="T111" s="44"/>
    </row>
    <row r="112" spans="1:20" s="89" customFormat="1" x14ac:dyDescent="0.3">
      <c r="A112" s="27">
        <v>1</v>
      </c>
      <c r="B112" s="37" t="s">
        <v>42</v>
      </c>
      <c r="C112" s="37" t="s">
        <v>86</v>
      </c>
      <c r="D112" s="22" t="s">
        <v>162</v>
      </c>
      <c r="E112" s="22" t="s">
        <v>117</v>
      </c>
      <c r="F112" s="22" t="s">
        <v>30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116"/>
      <c r="T112" s="22"/>
    </row>
    <row r="113" spans="1:20" s="89" customFormat="1" x14ac:dyDescent="0.3">
      <c r="A113" s="27">
        <v>1</v>
      </c>
      <c r="B113" s="37" t="s">
        <v>42</v>
      </c>
      <c r="C113" s="37" t="s">
        <v>86</v>
      </c>
      <c r="D113" s="22" t="s">
        <v>162</v>
      </c>
      <c r="E113" s="22" t="s">
        <v>163</v>
      </c>
      <c r="F113" s="22" t="s">
        <v>30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117"/>
      <c r="T113" s="22"/>
    </row>
    <row r="114" spans="1:20" s="89" customFormat="1" x14ac:dyDescent="0.3">
      <c r="A114" s="27">
        <v>1</v>
      </c>
      <c r="B114" s="37" t="s">
        <v>42</v>
      </c>
      <c r="C114" s="37" t="s">
        <v>86</v>
      </c>
      <c r="D114" s="22" t="s">
        <v>162</v>
      </c>
      <c r="E114" s="22" t="s">
        <v>323</v>
      </c>
      <c r="F114" s="22" t="s">
        <v>30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117"/>
      <c r="T114" s="22"/>
    </row>
    <row r="115" spans="1:20" s="89" customFormat="1" x14ac:dyDescent="0.3">
      <c r="A115" s="27">
        <v>1</v>
      </c>
      <c r="B115" s="37" t="s">
        <v>42</v>
      </c>
      <c r="C115" s="37" t="s">
        <v>86</v>
      </c>
      <c r="D115" s="22" t="s">
        <v>162</v>
      </c>
      <c r="E115" s="22" t="s">
        <v>83</v>
      </c>
      <c r="F115" s="22" t="s">
        <v>30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117"/>
      <c r="T115" s="22"/>
    </row>
    <row r="116" spans="1:20" s="89" customFormat="1" x14ac:dyDescent="0.3">
      <c r="A116" s="27">
        <v>1</v>
      </c>
      <c r="B116" s="37" t="s">
        <v>42</v>
      </c>
      <c r="C116" s="37" t="s">
        <v>86</v>
      </c>
      <c r="D116" s="22" t="s">
        <v>162</v>
      </c>
      <c r="E116" s="22" t="s">
        <v>164</v>
      </c>
      <c r="F116" s="22" t="s">
        <v>30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117"/>
      <c r="T116" s="22"/>
    </row>
    <row r="117" spans="1:20" s="89" customFormat="1" x14ac:dyDescent="0.3">
      <c r="A117" s="27">
        <v>1</v>
      </c>
      <c r="B117" s="37" t="s">
        <v>42</v>
      </c>
      <c r="C117" s="37" t="s">
        <v>86</v>
      </c>
      <c r="D117" s="22" t="s">
        <v>162</v>
      </c>
      <c r="E117" s="22" t="s">
        <v>93</v>
      </c>
      <c r="F117" s="22" t="s">
        <v>30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117"/>
      <c r="T117" s="39"/>
    </row>
    <row r="118" spans="1:20" s="89" customFormat="1" x14ac:dyDescent="0.3">
      <c r="A118" s="27">
        <v>1</v>
      </c>
      <c r="B118" s="37" t="s">
        <v>42</v>
      </c>
      <c r="C118" s="37" t="s">
        <v>86</v>
      </c>
      <c r="D118" s="22" t="s">
        <v>162</v>
      </c>
      <c r="E118" s="22" t="s">
        <v>165</v>
      </c>
      <c r="F118" s="22" t="s">
        <v>30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3"/>
      <c r="R118" s="22"/>
      <c r="S118" s="117"/>
      <c r="T118" s="41"/>
    </row>
    <row r="119" spans="1:20" s="89" customFormat="1" x14ac:dyDescent="0.3">
      <c r="A119" s="27">
        <v>1</v>
      </c>
      <c r="B119" s="37" t="s">
        <v>42</v>
      </c>
      <c r="C119" s="37" t="s">
        <v>86</v>
      </c>
      <c r="D119" s="22" t="s">
        <v>162</v>
      </c>
      <c r="E119" s="22" t="s">
        <v>337</v>
      </c>
      <c r="F119" s="22" t="s">
        <v>174</v>
      </c>
      <c r="G119" s="22" t="s">
        <v>81</v>
      </c>
      <c r="H119" s="22" t="s">
        <v>109</v>
      </c>
      <c r="I119" s="22" t="s">
        <v>337</v>
      </c>
      <c r="J119" s="22" t="s">
        <v>77</v>
      </c>
      <c r="K119" s="22" t="s">
        <v>109</v>
      </c>
      <c r="L119" s="22" t="s">
        <v>337</v>
      </c>
      <c r="M119" s="22" t="s">
        <v>74</v>
      </c>
      <c r="N119" s="22" t="s">
        <v>186</v>
      </c>
      <c r="O119" s="22" t="s">
        <v>337</v>
      </c>
      <c r="P119" s="22" t="s">
        <v>174</v>
      </c>
      <c r="Q119" s="38"/>
      <c r="R119" s="22"/>
      <c r="S119" s="117"/>
      <c r="T119" s="40"/>
    </row>
    <row r="120" spans="1:20" s="89" customFormat="1" x14ac:dyDescent="0.3">
      <c r="A120" s="27">
        <v>1</v>
      </c>
      <c r="B120" s="37" t="s">
        <v>42</v>
      </c>
      <c r="C120" s="37" t="s">
        <v>86</v>
      </c>
      <c r="D120" s="22" t="s">
        <v>162</v>
      </c>
      <c r="E120" s="22" t="s">
        <v>166</v>
      </c>
      <c r="F120" s="22" t="s">
        <v>62</v>
      </c>
      <c r="G120" s="23" t="s">
        <v>81</v>
      </c>
      <c r="H120" s="23" t="s">
        <v>180</v>
      </c>
      <c r="I120" s="22" t="s">
        <v>166</v>
      </c>
      <c r="J120" s="23" t="s">
        <v>77</v>
      </c>
      <c r="K120" s="23" t="s">
        <v>180</v>
      </c>
      <c r="L120" s="22" t="s">
        <v>166</v>
      </c>
      <c r="M120" s="23" t="s">
        <v>74</v>
      </c>
      <c r="N120" s="23" t="s">
        <v>98</v>
      </c>
      <c r="O120" s="22" t="s">
        <v>166</v>
      </c>
      <c r="P120" s="23" t="s">
        <v>13</v>
      </c>
      <c r="Q120" s="22"/>
      <c r="R120" s="22"/>
      <c r="S120" s="117"/>
      <c r="T120" s="41"/>
    </row>
    <row r="121" spans="1:20" s="89" customFormat="1" x14ac:dyDescent="0.3">
      <c r="A121" s="27">
        <v>1</v>
      </c>
      <c r="B121" s="37" t="s">
        <v>42</v>
      </c>
      <c r="C121" s="37" t="s">
        <v>86</v>
      </c>
      <c r="D121" s="22" t="s">
        <v>162</v>
      </c>
      <c r="E121" s="22" t="s">
        <v>336</v>
      </c>
      <c r="F121" s="22" t="s">
        <v>175</v>
      </c>
      <c r="G121" s="23" t="s">
        <v>81</v>
      </c>
      <c r="H121" s="23" t="s">
        <v>178</v>
      </c>
      <c r="I121" s="22" t="s">
        <v>167</v>
      </c>
      <c r="J121" s="23" t="s">
        <v>77</v>
      </c>
      <c r="K121" s="23" t="s">
        <v>178</v>
      </c>
      <c r="L121" s="22" t="s">
        <v>167</v>
      </c>
      <c r="M121" s="23" t="s">
        <v>74</v>
      </c>
      <c r="N121" s="23" t="s">
        <v>115</v>
      </c>
      <c r="O121" s="22" t="s">
        <v>167</v>
      </c>
      <c r="P121" s="23" t="s">
        <v>188</v>
      </c>
      <c r="Q121" s="22"/>
      <c r="R121" s="22"/>
      <c r="S121" s="117"/>
      <c r="T121" s="41"/>
    </row>
    <row r="122" spans="1:20" s="89" customFormat="1" x14ac:dyDescent="0.3">
      <c r="A122" s="27">
        <v>1</v>
      </c>
      <c r="B122" s="37" t="s">
        <v>42</v>
      </c>
      <c r="C122" s="37" t="s">
        <v>86</v>
      </c>
      <c r="D122" s="22" t="s">
        <v>162</v>
      </c>
      <c r="E122" s="22" t="s">
        <v>7</v>
      </c>
      <c r="F122" s="22" t="s">
        <v>152</v>
      </c>
      <c r="G122" s="23" t="s">
        <v>81</v>
      </c>
      <c r="H122" s="23" t="s">
        <v>181</v>
      </c>
      <c r="I122" s="22" t="s">
        <v>7</v>
      </c>
      <c r="J122" s="23" t="s">
        <v>77</v>
      </c>
      <c r="K122" s="23" t="s">
        <v>181</v>
      </c>
      <c r="L122" s="22" t="s">
        <v>7</v>
      </c>
      <c r="M122" s="23" t="s">
        <v>74</v>
      </c>
      <c r="N122" s="23" t="s">
        <v>186</v>
      </c>
      <c r="O122" s="22" t="s">
        <v>7</v>
      </c>
      <c r="P122" s="23" t="s">
        <v>152</v>
      </c>
      <c r="Q122" s="22"/>
      <c r="R122" s="22"/>
      <c r="S122" s="117"/>
      <c r="T122" s="41"/>
    </row>
    <row r="123" spans="1:20" s="89" customFormat="1" x14ac:dyDescent="0.3">
      <c r="A123" s="27">
        <v>1</v>
      </c>
      <c r="B123" s="37" t="s">
        <v>42</v>
      </c>
      <c r="C123" s="37" t="s">
        <v>86</v>
      </c>
      <c r="D123" s="22" t="s">
        <v>162</v>
      </c>
      <c r="E123" s="22" t="s">
        <v>168</v>
      </c>
      <c r="F123" s="22" t="s">
        <v>174</v>
      </c>
      <c r="G123" s="23" t="s">
        <v>81</v>
      </c>
      <c r="H123" s="23" t="s">
        <v>181</v>
      </c>
      <c r="I123" s="22" t="s">
        <v>168</v>
      </c>
      <c r="J123" s="23" t="s">
        <v>77</v>
      </c>
      <c r="K123" s="23" t="s">
        <v>181</v>
      </c>
      <c r="L123" s="22" t="s">
        <v>168</v>
      </c>
      <c r="M123" s="23" t="s">
        <v>74</v>
      </c>
      <c r="N123" s="23" t="s">
        <v>186</v>
      </c>
      <c r="O123" s="22" t="s">
        <v>168</v>
      </c>
      <c r="P123" s="23" t="s">
        <v>174</v>
      </c>
      <c r="Q123" s="22"/>
      <c r="R123" s="22"/>
      <c r="S123" s="117"/>
      <c r="T123" s="41"/>
    </row>
    <row r="124" spans="1:20" s="89" customFormat="1" x14ac:dyDescent="0.3">
      <c r="A124" s="27">
        <v>1</v>
      </c>
      <c r="B124" s="37" t="s">
        <v>42</v>
      </c>
      <c r="C124" s="37" t="s">
        <v>86</v>
      </c>
      <c r="D124" s="22" t="s">
        <v>162</v>
      </c>
      <c r="E124" s="22" t="s">
        <v>169</v>
      </c>
      <c r="F124" s="22" t="s">
        <v>176</v>
      </c>
      <c r="G124" s="23"/>
      <c r="H124" s="23"/>
      <c r="I124" s="22"/>
      <c r="J124" s="23"/>
      <c r="K124" s="23"/>
      <c r="L124" s="22"/>
      <c r="M124" s="23"/>
      <c r="N124" s="23"/>
      <c r="O124" s="22"/>
      <c r="P124" s="23"/>
      <c r="Q124" s="22"/>
      <c r="R124" s="22"/>
      <c r="S124" s="117"/>
      <c r="T124" s="41"/>
    </row>
    <row r="125" spans="1:20" s="89" customFormat="1" x14ac:dyDescent="0.3">
      <c r="A125" s="27">
        <v>1</v>
      </c>
      <c r="B125" s="37" t="s">
        <v>42</v>
      </c>
      <c r="C125" s="37" t="s">
        <v>86</v>
      </c>
      <c r="D125" s="22" t="s">
        <v>162</v>
      </c>
      <c r="E125" s="22" t="s">
        <v>170</v>
      </c>
      <c r="F125" s="22" t="s">
        <v>176</v>
      </c>
      <c r="G125" s="23"/>
      <c r="H125" s="23"/>
      <c r="I125" s="22"/>
      <c r="J125" s="23"/>
      <c r="K125" s="23"/>
      <c r="L125" s="22"/>
      <c r="M125" s="23"/>
      <c r="N125" s="23"/>
      <c r="O125" s="22"/>
      <c r="P125" s="23"/>
      <c r="Q125" s="22"/>
      <c r="R125" s="22"/>
      <c r="S125" s="117"/>
      <c r="T125" s="41"/>
    </row>
    <row r="126" spans="1:20" s="89" customFormat="1" x14ac:dyDescent="0.3">
      <c r="A126" s="27">
        <v>1</v>
      </c>
      <c r="B126" s="37" t="s">
        <v>42</v>
      </c>
      <c r="C126" s="37" t="s">
        <v>86</v>
      </c>
      <c r="D126" s="22" t="s">
        <v>162</v>
      </c>
      <c r="E126" s="22" t="s">
        <v>171</v>
      </c>
      <c r="F126" s="22" t="s">
        <v>62</v>
      </c>
      <c r="G126" s="23" t="s">
        <v>81</v>
      </c>
      <c r="H126" s="23" t="s">
        <v>179</v>
      </c>
      <c r="I126" s="22" t="s">
        <v>171</v>
      </c>
      <c r="J126" s="23" t="s">
        <v>77</v>
      </c>
      <c r="K126" s="23" t="s">
        <v>179</v>
      </c>
      <c r="L126" s="22" t="s">
        <v>171</v>
      </c>
      <c r="M126" s="23" t="s">
        <v>74</v>
      </c>
      <c r="N126" s="23" t="s">
        <v>66</v>
      </c>
      <c r="O126" s="22" t="s">
        <v>171</v>
      </c>
      <c r="P126" s="23" t="s">
        <v>189</v>
      </c>
      <c r="Q126" s="22"/>
      <c r="R126" s="22"/>
      <c r="S126" s="117"/>
      <c r="T126" s="41"/>
    </row>
    <row r="127" spans="1:20" s="89" customFormat="1" x14ac:dyDescent="0.3">
      <c r="A127" s="27">
        <v>1</v>
      </c>
      <c r="B127" s="37" t="s">
        <v>42</v>
      </c>
      <c r="C127" s="37" t="s">
        <v>86</v>
      </c>
      <c r="D127" s="22" t="s">
        <v>162</v>
      </c>
      <c r="E127" s="22" t="s">
        <v>172</v>
      </c>
      <c r="F127" s="22" t="s">
        <v>62</v>
      </c>
      <c r="G127" s="23" t="s">
        <v>81</v>
      </c>
      <c r="H127" s="23" t="s">
        <v>178</v>
      </c>
      <c r="I127" s="22" t="s">
        <v>172</v>
      </c>
      <c r="J127" s="23" t="s">
        <v>77</v>
      </c>
      <c r="K127" s="23" t="s">
        <v>178</v>
      </c>
      <c r="L127" s="22" t="s">
        <v>172</v>
      </c>
      <c r="M127" s="23" t="s">
        <v>74</v>
      </c>
      <c r="N127" s="23" t="s">
        <v>115</v>
      </c>
      <c r="O127" s="22" t="s">
        <v>172</v>
      </c>
      <c r="P127" s="23" t="s">
        <v>189</v>
      </c>
      <c r="Q127" s="22"/>
      <c r="R127" s="22"/>
      <c r="S127" s="117"/>
      <c r="T127" s="41"/>
    </row>
    <row r="128" spans="1:20" s="89" customFormat="1" x14ac:dyDescent="0.3">
      <c r="A128" s="27">
        <v>1</v>
      </c>
      <c r="B128" s="37" t="s">
        <v>42</v>
      </c>
      <c r="C128" s="37" t="s">
        <v>86</v>
      </c>
      <c r="D128" s="22" t="s">
        <v>162</v>
      </c>
      <c r="E128" s="22" t="s">
        <v>173</v>
      </c>
      <c r="F128" s="22" t="s">
        <v>177</v>
      </c>
      <c r="G128" s="23" t="s">
        <v>81</v>
      </c>
      <c r="H128" s="23" t="s">
        <v>178</v>
      </c>
      <c r="I128" s="22" t="s">
        <v>173</v>
      </c>
      <c r="J128" s="23" t="s">
        <v>77</v>
      </c>
      <c r="K128" s="23" t="s">
        <v>178</v>
      </c>
      <c r="L128" s="22" t="s">
        <v>173</v>
      </c>
      <c r="M128" s="23" t="s">
        <v>74</v>
      </c>
      <c r="N128" s="23" t="s">
        <v>115</v>
      </c>
      <c r="O128" s="22" t="s">
        <v>173</v>
      </c>
      <c r="P128" s="23" t="s">
        <v>190</v>
      </c>
      <c r="Q128" s="22"/>
      <c r="R128" s="22"/>
      <c r="S128" s="117"/>
      <c r="T128" s="41"/>
    </row>
    <row r="129" spans="1:20" s="89" customFormat="1" x14ac:dyDescent="0.3">
      <c r="A129" s="27">
        <v>1</v>
      </c>
      <c r="B129" s="37" t="s">
        <v>42</v>
      </c>
      <c r="C129" s="37" t="s">
        <v>86</v>
      </c>
      <c r="D129" s="22" t="s">
        <v>162</v>
      </c>
      <c r="E129" s="22" t="s">
        <v>342</v>
      </c>
      <c r="F129" s="22" t="s">
        <v>175</v>
      </c>
      <c r="G129" s="23" t="s">
        <v>81</v>
      </c>
      <c r="H129" s="23" t="s">
        <v>344</v>
      </c>
      <c r="I129" s="22" t="s">
        <v>342</v>
      </c>
      <c r="J129" s="23" t="s">
        <v>77</v>
      </c>
      <c r="K129" s="23" t="s">
        <v>344</v>
      </c>
      <c r="L129" s="22" t="s">
        <v>342</v>
      </c>
      <c r="M129" s="23" t="s">
        <v>74</v>
      </c>
      <c r="N129" s="23" t="s">
        <v>345</v>
      </c>
      <c r="O129" s="22" t="s">
        <v>342</v>
      </c>
      <c r="P129" s="23" t="s">
        <v>188</v>
      </c>
      <c r="Q129" s="22"/>
      <c r="R129" s="22"/>
      <c r="S129" s="104"/>
      <c r="T129" s="41"/>
    </row>
    <row r="130" spans="1:20" s="89" customFormat="1" ht="14.4" customHeight="1" x14ac:dyDescent="0.3">
      <c r="A130" s="27">
        <v>1</v>
      </c>
      <c r="B130" s="10" t="s">
        <v>41</v>
      </c>
      <c r="C130" s="10" t="s">
        <v>86</v>
      </c>
      <c r="D130" s="3" t="s">
        <v>32</v>
      </c>
      <c r="E130" s="3" t="s">
        <v>33</v>
      </c>
      <c r="F130" s="3" t="s">
        <v>28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3"/>
      <c r="R130" s="3"/>
      <c r="S130" s="109"/>
      <c r="T130" s="7"/>
    </row>
    <row r="131" spans="1:20" s="89" customFormat="1" x14ac:dyDescent="0.3">
      <c r="A131" s="27">
        <v>1</v>
      </c>
      <c r="B131" s="10" t="s">
        <v>41</v>
      </c>
      <c r="C131" s="10" t="s">
        <v>86</v>
      </c>
      <c r="D131" s="3" t="s">
        <v>32</v>
      </c>
      <c r="E131" s="3" t="s">
        <v>35</v>
      </c>
      <c r="F131" s="5" t="s">
        <v>72</v>
      </c>
      <c r="G131" s="5" t="s">
        <v>81</v>
      </c>
      <c r="H131" s="5" t="s">
        <v>195</v>
      </c>
      <c r="I131" s="5" t="s">
        <v>194</v>
      </c>
      <c r="J131" s="5" t="s">
        <v>77</v>
      </c>
      <c r="K131" s="5" t="s">
        <v>195</v>
      </c>
      <c r="L131" s="5" t="s">
        <v>194</v>
      </c>
      <c r="M131" s="5" t="s">
        <v>74</v>
      </c>
      <c r="N131" s="5" t="s">
        <v>193</v>
      </c>
      <c r="O131" s="5" t="s">
        <v>194</v>
      </c>
      <c r="P131" s="5" t="s">
        <v>72</v>
      </c>
      <c r="Q131" s="3"/>
      <c r="R131" s="3"/>
      <c r="S131" s="110"/>
      <c r="T131" s="7"/>
    </row>
    <row r="132" spans="1:20" s="89" customFormat="1" x14ac:dyDescent="0.3">
      <c r="A132" s="27">
        <v>1</v>
      </c>
      <c r="B132" s="10" t="s">
        <v>41</v>
      </c>
      <c r="C132" s="10" t="s">
        <v>86</v>
      </c>
      <c r="D132" s="3" t="s">
        <v>32</v>
      </c>
      <c r="E132" s="5" t="s">
        <v>12</v>
      </c>
      <c r="F132" s="5" t="s">
        <v>72</v>
      </c>
      <c r="G132" s="5" t="s">
        <v>81</v>
      </c>
      <c r="H132" s="5" t="s">
        <v>195</v>
      </c>
      <c r="I132" s="5" t="s">
        <v>12</v>
      </c>
      <c r="J132" s="5" t="s">
        <v>77</v>
      </c>
      <c r="K132" s="5" t="s">
        <v>195</v>
      </c>
      <c r="L132" s="5" t="s">
        <v>12</v>
      </c>
      <c r="M132" s="5" t="s">
        <v>74</v>
      </c>
      <c r="N132" s="5" t="s">
        <v>193</v>
      </c>
      <c r="O132" s="5" t="s">
        <v>12</v>
      </c>
      <c r="P132" s="5" t="s">
        <v>72</v>
      </c>
      <c r="Q132" s="3"/>
      <c r="R132" s="3"/>
      <c r="S132" s="110"/>
      <c r="T132" s="7"/>
    </row>
    <row r="133" spans="1:20" s="89" customFormat="1" x14ac:dyDescent="0.3">
      <c r="A133" s="27">
        <v>1</v>
      </c>
      <c r="B133" s="10" t="s">
        <v>41</v>
      </c>
      <c r="C133" s="10" t="s">
        <v>86</v>
      </c>
      <c r="D133" s="3" t="s">
        <v>32</v>
      </c>
      <c r="E133" s="5" t="s">
        <v>191</v>
      </c>
      <c r="F133" s="5" t="s">
        <v>72</v>
      </c>
      <c r="G133" s="5" t="s">
        <v>81</v>
      </c>
      <c r="H133" s="5" t="s">
        <v>195</v>
      </c>
      <c r="I133" s="5" t="s">
        <v>191</v>
      </c>
      <c r="J133" s="5" t="s">
        <v>77</v>
      </c>
      <c r="K133" s="5" t="s">
        <v>195</v>
      </c>
      <c r="L133" s="5" t="s">
        <v>191</v>
      </c>
      <c r="M133" s="5" t="s">
        <v>74</v>
      </c>
      <c r="N133" s="5" t="s">
        <v>193</v>
      </c>
      <c r="O133" s="5" t="s">
        <v>191</v>
      </c>
      <c r="P133" s="5" t="s">
        <v>72</v>
      </c>
      <c r="Q133" s="3"/>
      <c r="R133" s="3"/>
      <c r="S133" s="110"/>
      <c r="T133" s="7"/>
    </row>
    <row r="134" spans="1:20" s="89" customFormat="1" x14ac:dyDescent="0.3">
      <c r="A134" s="27">
        <v>1</v>
      </c>
      <c r="B134" s="10" t="s">
        <v>41</v>
      </c>
      <c r="C134" s="10" t="s">
        <v>86</v>
      </c>
      <c r="D134" s="3" t="s">
        <v>32</v>
      </c>
      <c r="E134" s="5" t="s">
        <v>70</v>
      </c>
      <c r="F134" s="5" t="s">
        <v>62</v>
      </c>
      <c r="G134" s="5" t="s">
        <v>81</v>
      </c>
      <c r="H134" s="5" t="s">
        <v>195</v>
      </c>
      <c r="I134" s="5" t="s">
        <v>70</v>
      </c>
      <c r="J134" s="5" t="s">
        <v>77</v>
      </c>
      <c r="K134" s="5" t="s">
        <v>195</v>
      </c>
      <c r="L134" s="5" t="s">
        <v>70</v>
      </c>
      <c r="M134" s="5" t="s">
        <v>74</v>
      </c>
      <c r="N134" s="5" t="s">
        <v>193</v>
      </c>
      <c r="O134" s="5" t="s">
        <v>70</v>
      </c>
      <c r="P134" s="5" t="s">
        <v>62</v>
      </c>
      <c r="Q134" s="3"/>
      <c r="R134" s="3"/>
      <c r="S134" s="110"/>
      <c r="T134" s="7"/>
    </row>
    <row r="135" spans="1:20" s="89" customFormat="1" x14ac:dyDescent="0.3">
      <c r="A135" s="27">
        <v>1</v>
      </c>
      <c r="B135" s="10" t="s">
        <v>41</v>
      </c>
      <c r="C135" s="10" t="s">
        <v>86</v>
      </c>
      <c r="D135" s="3" t="s">
        <v>32</v>
      </c>
      <c r="E135" s="5" t="s">
        <v>68</v>
      </c>
      <c r="F135" s="5" t="s">
        <v>72</v>
      </c>
      <c r="G135" s="5" t="s">
        <v>81</v>
      </c>
      <c r="H135" s="5" t="s">
        <v>195</v>
      </c>
      <c r="I135" s="5" t="s">
        <v>68</v>
      </c>
      <c r="J135" s="5" t="s">
        <v>77</v>
      </c>
      <c r="K135" s="5" t="s">
        <v>195</v>
      </c>
      <c r="L135" s="5" t="s">
        <v>68</v>
      </c>
      <c r="M135" s="5" t="s">
        <v>74</v>
      </c>
      <c r="N135" s="5" t="s">
        <v>193</v>
      </c>
      <c r="O135" s="5" t="s">
        <v>68</v>
      </c>
      <c r="P135" s="5" t="s">
        <v>72</v>
      </c>
      <c r="Q135" s="3"/>
      <c r="R135" s="3"/>
      <c r="S135" s="110"/>
      <c r="T135" s="7"/>
    </row>
    <row r="136" spans="1:20" s="89" customFormat="1" x14ac:dyDescent="0.3">
      <c r="A136" s="27">
        <v>1</v>
      </c>
      <c r="B136" s="10" t="s">
        <v>41</v>
      </c>
      <c r="C136" s="10" t="s">
        <v>86</v>
      </c>
      <c r="D136" s="3" t="s">
        <v>32</v>
      </c>
      <c r="E136" s="5" t="s">
        <v>192</v>
      </c>
      <c r="F136" s="5" t="s">
        <v>72</v>
      </c>
      <c r="G136" s="5" t="s">
        <v>81</v>
      </c>
      <c r="H136" s="5" t="s">
        <v>195</v>
      </c>
      <c r="I136" s="5" t="s">
        <v>192</v>
      </c>
      <c r="J136" s="5" t="s">
        <v>77</v>
      </c>
      <c r="K136" s="5" t="s">
        <v>195</v>
      </c>
      <c r="L136" s="5" t="s">
        <v>192</v>
      </c>
      <c r="M136" s="5" t="s">
        <v>74</v>
      </c>
      <c r="N136" s="5" t="s">
        <v>193</v>
      </c>
      <c r="O136" s="5" t="s">
        <v>192</v>
      </c>
      <c r="P136" s="5" t="s">
        <v>72</v>
      </c>
      <c r="Q136" s="3"/>
      <c r="R136" s="3"/>
      <c r="S136" s="110"/>
      <c r="T136" s="7"/>
    </row>
    <row r="137" spans="1:20" s="89" customFormat="1" x14ac:dyDescent="0.3">
      <c r="A137" s="27">
        <v>1</v>
      </c>
      <c r="B137" s="10" t="s">
        <v>41</v>
      </c>
      <c r="C137" s="10" t="s">
        <v>86</v>
      </c>
      <c r="D137" s="3" t="s">
        <v>32</v>
      </c>
      <c r="E137" s="5" t="s">
        <v>31</v>
      </c>
      <c r="F137" s="10" t="s">
        <v>84</v>
      </c>
      <c r="G137" s="5" t="s">
        <v>81</v>
      </c>
      <c r="H137" s="5" t="s">
        <v>195</v>
      </c>
      <c r="I137" s="5" t="s">
        <v>31</v>
      </c>
      <c r="J137" s="5" t="s">
        <v>77</v>
      </c>
      <c r="K137" s="5" t="s">
        <v>195</v>
      </c>
      <c r="L137" s="5" t="s">
        <v>31</v>
      </c>
      <c r="M137" s="5"/>
      <c r="N137" s="5"/>
      <c r="O137" s="5"/>
      <c r="P137" s="5"/>
      <c r="Q137" s="3"/>
      <c r="R137" s="3"/>
      <c r="S137" s="110"/>
      <c r="T137" s="7"/>
    </row>
    <row r="138" spans="1:20" s="89" customFormat="1" x14ac:dyDescent="0.3">
      <c r="A138" s="27">
        <v>1</v>
      </c>
      <c r="B138" s="10" t="s">
        <v>41</v>
      </c>
      <c r="C138" s="10" t="s">
        <v>86</v>
      </c>
      <c r="D138" s="3" t="s">
        <v>32</v>
      </c>
      <c r="E138" s="5" t="s">
        <v>75</v>
      </c>
      <c r="F138" s="10" t="s">
        <v>62</v>
      </c>
      <c r="G138" s="5" t="s">
        <v>81</v>
      </c>
      <c r="H138" s="5" t="s">
        <v>195</v>
      </c>
      <c r="I138" s="5" t="s">
        <v>75</v>
      </c>
      <c r="J138" s="5" t="s">
        <v>77</v>
      </c>
      <c r="K138" s="5" t="s">
        <v>195</v>
      </c>
      <c r="L138" s="5" t="s">
        <v>75</v>
      </c>
      <c r="M138" s="5"/>
      <c r="N138" s="5"/>
      <c r="O138" s="5"/>
      <c r="P138" s="5"/>
      <c r="Q138" s="3"/>
      <c r="R138" s="3"/>
      <c r="S138" s="110"/>
      <c r="T138" s="7"/>
    </row>
    <row r="139" spans="1:20" s="89" customFormat="1" x14ac:dyDescent="0.3">
      <c r="A139" s="27">
        <v>1</v>
      </c>
      <c r="B139" s="10" t="s">
        <v>41</v>
      </c>
      <c r="C139" s="10" t="s">
        <v>86</v>
      </c>
      <c r="D139" s="3" t="s">
        <v>32</v>
      </c>
      <c r="E139" s="5" t="s">
        <v>78</v>
      </c>
      <c r="F139" s="10" t="s">
        <v>62</v>
      </c>
      <c r="G139" s="5" t="s">
        <v>81</v>
      </c>
      <c r="H139" s="5" t="s">
        <v>195</v>
      </c>
      <c r="I139" s="5" t="s">
        <v>78</v>
      </c>
      <c r="J139" s="5"/>
      <c r="K139" s="10"/>
      <c r="L139" s="10"/>
      <c r="M139" s="5"/>
      <c r="N139" s="10"/>
      <c r="O139" s="10"/>
      <c r="P139" s="5"/>
      <c r="Q139" s="3"/>
      <c r="R139" s="3"/>
      <c r="S139" s="110"/>
      <c r="T139" s="7"/>
    </row>
    <row r="140" spans="1:20" s="89" customFormat="1" x14ac:dyDescent="0.3">
      <c r="A140" s="27">
        <v>1</v>
      </c>
      <c r="B140" s="10" t="s">
        <v>41</v>
      </c>
      <c r="C140" s="10" t="s">
        <v>86</v>
      </c>
      <c r="D140" s="3" t="s">
        <v>32</v>
      </c>
      <c r="E140" s="5" t="s">
        <v>20</v>
      </c>
      <c r="F140" s="10" t="s">
        <v>62</v>
      </c>
      <c r="G140" s="5" t="s">
        <v>81</v>
      </c>
      <c r="H140" s="5" t="s">
        <v>195</v>
      </c>
      <c r="I140" s="5" t="s">
        <v>20</v>
      </c>
      <c r="J140" s="5"/>
      <c r="K140" s="10"/>
      <c r="L140" s="10"/>
      <c r="M140" s="5"/>
      <c r="N140" s="10"/>
      <c r="O140" s="10"/>
      <c r="P140" s="5"/>
      <c r="Q140" s="3"/>
      <c r="R140" s="3"/>
      <c r="S140" s="110"/>
      <c r="T140" s="7"/>
    </row>
    <row r="141" spans="1:20" s="89" customFormat="1" x14ac:dyDescent="0.3">
      <c r="A141" s="27">
        <v>1</v>
      </c>
      <c r="B141" s="10" t="s">
        <v>41</v>
      </c>
      <c r="C141" s="10" t="s">
        <v>86</v>
      </c>
      <c r="D141" s="3" t="s">
        <v>32</v>
      </c>
      <c r="E141" s="5" t="s">
        <v>79</v>
      </c>
      <c r="F141" s="10" t="s">
        <v>44</v>
      </c>
      <c r="G141" s="5" t="s">
        <v>81</v>
      </c>
      <c r="H141" s="5" t="s">
        <v>195</v>
      </c>
      <c r="I141" s="5" t="s">
        <v>79</v>
      </c>
      <c r="J141" s="5"/>
      <c r="K141" s="10"/>
      <c r="L141" s="10"/>
      <c r="M141" s="5"/>
      <c r="N141" s="10"/>
      <c r="O141" s="10"/>
      <c r="P141" s="5"/>
      <c r="Q141" s="3"/>
      <c r="R141" s="3"/>
      <c r="S141" s="110"/>
      <c r="T141" s="7"/>
    </row>
    <row r="142" spans="1:20" s="89" customFormat="1" x14ac:dyDescent="0.3">
      <c r="A142" s="27">
        <v>1</v>
      </c>
      <c r="B142" s="10" t="s">
        <v>41</v>
      </c>
      <c r="C142" s="10" t="s">
        <v>86</v>
      </c>
      <c r="D142" s="3" t="s">
        <v>32</v>
      </c>
      <c r="E142" s="5" t="s">
        <v>80</v>
      </c>
      <c r="F142" s="10" t="s">
        <v>44</v>
      </c>
      <c r="G142" s="5" t="s">
        <v>81</v>
      </c>
      <c r="H142" s="5" t="s">
        <v>195</v>
      </c>
      <c r="I142" s="5" t="s">
        <v>80</v>
      </c>
      <c r="J142" s="5"/>
      <c r="K142" s="10"/>
      <c r="L142" s="10"/>
      <c r="M142" s="5"/>
      <c r="N142" s="10"/>
      <c r="O142" s="10"/>
      <c r="P142" s="5"/>
      <c r="Q142" s="3"/>
      <c r="R142" s="3"/>
      <c r="S142" s="110"/>
      <c r="T142" s="7"/>
    </row>
    <row r="143" spans="1:20" ht="13.2" customHeight="1" x14ac:dyDescent="0.3">
      <c r="A143" s="27">
        <v>1</v>
      </c>
      <c r="B143" s="45" t="s">
        <v>41</v>
      </c>
      <c r="C143" s="45" t="s">
        <v>86</v>
      </c>
      <c r="D143" s="46" t="s">
        <v>202</v>
      </c>
      <c r="E143" s="46" t="s">
        <v>200</v>
      </c>
      <c r="F143" s="50" t="s">
        <v>28</v>
      </c>
      <c r="G143" s="46"/>
      <c r="H143" s="46"/>
      <c r="I143" s="46"/>
      <c r="J143" s="46"/>
      <c r="K143" s="46"/>
      <c r="L143" s="46"/>
      <c r="M143" s="46"/>
      <c r="N143" s="46"/>
      <c r="O143" s="52"/>
      <c r="P143" s="46"/>
      <c r="Q143" s="46"/>
      <c r="R143" s="46"/>
      <c r="S143" s="49"/>
      <c r="T143" s="82"/>
    </row>
    <row r="144" spans="1:20" x14ac:dyDescent="0.3">
      <c r="A144" s="27">
        <v>1</v>
      </c>
      <c r="B144" s="45" t="s">
        <v>41</v>
      </c>
      <c r="C144" s="45" t="s">
        <v>86</v>
      </c>
      <c r="D144" s="46" t="s">
        <v>202</v>
      </c>
      <c r="E144" s="52" t="s">
        <v>201</v>
      </c>
      <c r="F144" s="50" t="s">
        <v>72</v>
      </c>
      <c r="G144" s="46" t="s">
        <v>81</v>
      </c>
      <c r="H144" s="46" t="s">
        <v>199</v>
      </c>
      <c r="I144" s="52" t="s">
        <v>196</v>
      </c>
      <c r="J144" s="50" t="s">
        <v>77</v>
      </c>
      <c r="K144" s="51" t="s">
        <v>199</v>
      </c>
      <c r="L144" s="52" t="s">
        <v>196</v>
      </c>
      <c r="M144" s="50" t="s">
        <v>74</v>
      </c>
      <c r="N144" s="46" t="s">
        <v>198</v>
      </c>
      <c r="O144" s="52" t="s">
        <v>196</v>
      </c>
      <c r="P144" s="50" t="s">
        <v>72</v>
      </c>
      <c r="Q144" s="46"/>
      <c r="R144" s="46"/>
      <c r="S144" s="49"/>
      <c r="T144" s="46"/>
    </row>
    <row r="145" spans="1:20" x14ac:dyDescent="0.3">
      <c r="A145" s="27">
        <v>1</v>
      </c>
      <c r="B145" s="45" t="s">
        <v>41</v>
      </c>
      <c r="C145" s="45" t="s">
        <v>86</v>
      </c>
      <c r="D145" s="46" t="s">
        <v>202</v>
      </c>
      <c r="E145" s="52" t="s">
        <v>197</v>
      </c>
      <c r="F145" s="50" t="s">
        <v>72</v>
      </c>
      <c r="G145" s="46" t="s">
        <v>81</v>
      </c>
      <c r="H145" s="46" t="s">
        <v>199</v>
      </c>
      <c r="I145" s="52" t="s">
        <v>197</v>
      </c>
      <c r="J145" s="50" t="s">
        <v>77</v>
      </c>
      <c r="K145" s="51" t="s">
        <v>199</v>
      </c>
      <c r="L145" s="52" t="s">
        <v>197</v>
      </c>
      <c r="M145" s="50" t="s">
        <v>74</v>
      </c>
      <c r="N145" s="46" t="s">
        <v>198</v>
      </c>
      <c r="O145" s="52" t="s">
        <v>197</v>
      </c>
      <c r="P145" s="50" t="s">
        <v>72</v>
      </c>
      <c r="Q145" s="46"/>
      <c r="R145" s="46"/>
      <c r="S145" s="49"/>
      <c r="T145" s="46"/>
    </row>
    <row r="146" spans="1:20" x14ac:dyDescent="0.3">
      <c r="A146" s="27">
        <v>1</v>
      </c>
      <c r="B146" s="45" t="s">
        <v>41</v>
      </c>
      <c r="C146" s="45" t="s">
        <v>86</v>
      </c>
      <c r="D146" s="46" t="s">
        <v>202</v>
      </c>
      <c r="E146" s="52" t="s">
        <v>339</v>
      </c>
      <c r="F146" s="50" t="s">
        <v>152</v>
      </c>
      <c r="G146" s="46" t="s">
        <v>81</v>
      </c>
      <c r="H146" s="46" t="s">
        <v>199</v>
      </c>
      <c r="I146" s="52" t="s">
        <v>339</v>
      </c>
      <c r="J146" s="50" t="s">
        <v>77</v>
      </c>
      <c r="K146" s="51" t="s">
        <v>199</v>
      </c>
      <c r="L146" s="52" t="s">
        <v>339</v>
      </c>
      <c r="M146" s="50" t="s">
        <v>74</v>
      </c>
      <c r="N146" s="46" t="s">
        <v>198</v>
      </c>
      <c r="O146" s="52" t="s">
        <v>339</v>
      </c>
      <c r="P146" s="50" t="s">
        <v>152</v>
      </c>
      <c r="Q146" s="46"/>
      <c r="R146" s="46"/>
      <c r="S146" s="49"/>
      <c r="T146" s="46"/>
    </row>
    <row r="147" spans="1:20" x14ac:dyDescent="0.3">
      <c r="A147" s="27">
        <v>1</v>
      </c>
      <c r="B147" s="45" t="s">
        <v>41</v>
      </c>
      <c r="C147" s="45" t="s">
        <v>86</v>
      </c>
      <c r="D147" s="46" t="s">
        <v>202</v>
      </c>
      <c r="E147" s="52" t="s">
        <v>340</v>
      </c>
      <c r="F147" s="50" t="s">
        <v>152</v>
      </c>
      <c r="G147" s="46" t="s">
        <v>81</v>
      </c>
      <c r="H147" s="46" t="s">
        <v>199</v>
      </c>
      <c r="I147" s="52" t="s">
        <v>340</v>
      </c>
      <c r="J147" s="50" t="s">
        <v>77</v>
      </c>
      <c r="K147" s="51" t="s">
        <v>199</v>
      </c>
      <c r="L147" s="52" t="s">
        <v>340</v>
      </c>
      <c r="M147" s="50" t="s">
        <v>74</v>
      </c>
      <c r="N147" s="46" t="s">
        <v>198</v>
      </c>
      <c r="O147" s="52" t="s">
        <v>340</v>
      </c>
      <c r="P147" s="50" t="s">
        <v>152</v>
      </c>
      <c r="Q147" s="46"/>
      <c r="R147" s="46"/>
      <c r="S147" s="49"/>
      <c r="T147" s="46"/>
    </row>
    <row r="148" spans="1:20" x14ac:dyDescent="0.3">
      <c r="A148" s="27">
        <v>1</v>
      </c>
      <c r="B148" s="45" t="s">
        <v>41</v>
      </c>
      <c r="C148" s="45" t="s">
        <v>86</v>
      </c>
      <c r="D148" s="46" t="s">
        <v>202</v>
      </c>
      <c r="E148" s="50" t="s">
        <v>31</v>
      </c>
      <c r="F148" s="50" t="s">
        <v>84</v>
      </c>
      <c r="G148" s="46" t="s">
        <v>81</v>
      </c>
      <c r="H148" s="46" t="s">
        <v>199</v>
      </c>
      <c r="I148" s="50" t="s">
        <v>31</v>
      </c>
      <c r="J148" s="50" t="s">
        <v>77</v>
      </c>
      <c r="K148" s="51" t="s">
        <v>199</v>
      </c>
      <c r="L148" s="50" t="s">
        <v>31</v>
      </c>
      <c r="M148" s="50"/>
      <c r="N148" s="46"/>
      <c r="O148" s="52"/>
      <c r="P148" s="50"/>
      <c r="Q148" s="46"/>
      <c r="R148" s="46"/>
      <c r="S148" s="49"/>
      <c r="T148" s="46"/>
    </row>
    <row r="149" spans="1:20" x14ac:dyDescent="0.3">
      <c r="A149" s="27">
        <v>1</v>
      </c>
      <c r="B149" s="45" t="s">
        <v>41</v>
      </c>
      <c r="C149" s="45" t="s">
        <v>86</v>
      </c>
      <c r="D149" s="46" t="s">
        <v>202</v>
      </c>
      <c r="E149" s="50" t="s">
        <v>75</v>
      </c>
      <c r="F149" s="50" t="s">
        <v>62</v>
      </c>
      <c r="G149" s="46" t="s">
        <v>81</v>
      </c>
      <c r="H149" s="46" t="s">
        <v>199</v>
      </c>
      <c r="I149" s="50" t="s">
        <v>75</v>
      </c>
      <c r="J149" s="50" t="s">
        <v>77</v>
      </c>
      <c r="K149" s="51" t="s">
        <v>199</v>
      </c>
      <c r="L149" s="50" t="s">
        <v>75</v>
      </c>
      <c r="M149" s="50"/>
      <c r="N149" s="46"/>
      <c r="O149" s="52"/>
      <c r="P149" s="50"/>
      <c r="Q149" s="46"/>
      <c r="R149" s="46"/>
      <c r="S149" s="49"/>
      <c r="T149" s="46"/>
    </row>
    <row r="150" spans="1:20" x14ac:dyDescent="0.3">
      <c r="A150" s="27">
        <v>1</v>
      </c>
      <c r="B150" s="45" t="s">
        <v>41</v>
      </c>
      <c r="C150" s="45" t="s">
        <v>86</v>
      </c>
      <c r="D150" s="46" t="s">
        <v>202</v>
      </c>
      <c r="E150" s="46" t="s">
        <v>78</v>
      </c>
      <c r="F150" s="50" t="s">
        <v>62</v>
      </c>
      <c r="G150" s="46" t="s">
        <v>81</v>
      </c>
      <c r="H150" s="46" t="s">
        <v>199</v>
      </c>
      <c r="I150" s="46" t="s">
        <v>78</v>
      </c>
      <c r="J150" s="50"/>
      <c r="K150" s="51"/>
      <c r="L150" s="50"/>
      <c r="M150" s="50"/>
      <c r="N150" s="46"/>
      <c r="O150" s="52"/>
      <c r="P150" s="50"/>
      <c r="Q150" s="46"/>
      <c r="R150" s="46"/>
      <c r="S150" s="49"/>
      <c r="T150" s="46"/>
    </row>
    <row r="151" spans="1:20" x14ac:dyDescent="0.3">
      <c r="A151" s="27">
        <v>1</v>
      </c>
      <c r="B151" s="45" t="s">
        <v>41</v>
      </c>
      <c r="C151" s="45" t="s">
        <v>86</v>
      </c>
      <c r="D151" s="46" t="s">
        <v>202</v>
      </c>
      <c r="E151" s="46" t="s">
        <v>20</v>
      </c>
      <c r="F151" s="50" t="s">
        <v>62</v>
      </c>
      <c r="G151" s="46" t="s">
        <v>81</v>
      </c>
      <c r="H151" s="46" t="s">
        <v>199</v>
      </c>
      <c r="I151" s="46" t="s">
        <v>20</v>
      </c>
      <c r="J151" s="50"/>
      <c r="K151" s="51"/>
      <c r="L151" s="50"/>
      <c r="M151" s="50"/>
      <c r="N151" s="46"/>
      <c r="O151" s="52"/>
      <c r="P151" s="50"/>
      <c r="Q151" s="46"/>
      <c r="R151" s="46"/>
      <c r="S151" s="49"/>
      <c r="T151" s="46"/>
    </row>
    <row r="152" spans="1:20" x14ac:dyDescent="0.3">
      <c r="A152" s="27">
        <v>1</v>
      </c>
      <c r="B152" s="45" t="s">
        <v>41</v>
      </c>
      <c r="C152" s="45" t="s">
        <v>86</v>
      </c>
      <c r="D152" s="46" t="s">
        <v>202</v>
      </c>
      <c r="E152" s="46" t="s">
        <v>79</v>
      </c>
      <c r="F152" s="50" t="s">
        <v>44</v>
      </c>
      <c r="G152" s="46" t="s">
        <v>81</v>
      </c>
      <c r="H152" s="46" t="s">
        <v>199</v>
      </c>
      <c r="I152" s="46" t="s">
        <v>79</v>
      </c>
      <c r="J152" s="50"/>
      <c r="K152" s="51"/>
      <c r="L152" s="50"/>
      <c r="M152" s="50"/>
      <c r="N152" s="46"/>
      <c r="O152" s="52"/>
      <c r="P152" s="50"/>
      <c r="Q152" s="46"/>
      <c r="R152" s="46"/>
      <c r="S152" s="49"/>
      <c r="T152" s="46"/>
    </row>
    <row r="153" spans="1:20" x14ac:dyDescent="0.3">
      <c r="A153" s="27">
        <v>1</v>
      </c>
      <c r="B153" s="45" t="s">
        <v>41</v>
      </c>
      <c r="C153" s="45" t="s">
        <v>86</v>
      </c>
      <c r="D153" s="46" t="s">
        <v>202</v>
      </c>
      <c r="E153" s="46" t="s">
        <v>80</v>
      </c>
      <c r="F153" s="50" t="s">
        <v>44</v>
      </c>
      <c r="G153" s="46" t="s">
        <v>81</v>
      </c>
      <c r="H153" s="46" t="s">
        <v>199</v>
      </c>
      <c r="I153" s="46" t="s">
        <v>80</v>
      </c>
      <c r="J153" s="50"/>
      <c r="K153" s="51"/>
      <c r="L153" s="50"/>
      <c r="M153" s="50"/>
      <c r="N153" s="46"/>
      <c r="O153" s="52"/>
      <c r="P153" s="50"/>
      <c r="Q153" s="46"/>
      <c r="R153" s="46"/>
      <c r="S153" s="49"/>
      <c r="T153" s="46"/>
    </row>
    <row r="154" spans="1:20" s="89" customFormat="1" ht="14.55" customHeight="1" x14ac:dyDescent="0.3">
      <c r="A154" s="27">
        <v>1</v>
      </c>
      <c r="B154" s="42" t="s">
        <v>41</v>
      </c>
      <c r="C154" s="42" t="s">
        <v>86</v>
      </c>
      <c r="D154" s="43" t="s">
        <v>209</v>
      </c>
      <c r="E154" s="43" t="s">
        <v>208</v>
      </c>
      <c r="F154" s="42" t="s">
        <v>210</v>
      </c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121"/>
      <c r="T154" s="47"/>
    </row>
    <row r="155" spans="1:20" s="90" customFormat="1" x14ac:dyDescent="0.3">
      <c r="A155" s="27">
        <v>1</v>
      </c>
      <c r="B155" s="42" t="s">
        <v>41</v>
      </c>
      <c r="C155" s="42" t="s">
        <v>86</v>
      </c>
      <c r="D155" s="43" t="s">
        <v>209</v>
      </c>
      <c r="E155" s="43" t="s">
        <v>207</v>
      </c>
      <c r="F155" s="43" t="s">
        <v>72</v>
      </c>
      <c r="G155" s="43" t="s">
        <v>81</v>
      </c>
      <c r="H155" s="43" t="s">
        <v>206</v>
      </c>
      <c r="I155" s="43" t="s">
        <v>203</v>
      </c>
      <c r="J155" s="43" t="s">
        <v>77</v>
      </c>
      <c r="K155" s="43" t="s">
        <v>206</v>
      </c>
      <c r="L155" s="43" t="s">
        <v>203</v>
      </c>
      <c r="M155" s="43" t="s">
        <v>74</v>
      </c>
      <c r="N155" s="43" t="s">
        <v>205</v>
      </c>
      <c r="O155" s="43" t="s">
        <v>203</v>
      </c>
      <c r="P155" s="43" t="s">
        <v>72</v>
      </c>
      <c r="Q155" s="43"/>
      <c r="R155" s="43"/>
      <c r="S155" s="122"/>
      <c r="T155" s="43"/>
    </row>
    <row r="156" spans="1:20" s="90" customFormat="1" x14ac:dyDescent="0.3">
      <c r="A156" s="27">
        <v>1</v>
      </c>
      <c r="B156" s="42" t="s">
        <v>41</v>
      </c>
      <c r="C156" s="42" t="s">
        <v>86</v>
      </c>
      <c r="D156" s="43" t="s">
        <v>209</v>
      </c>
      <c r="E156" s="43" t="s">
        <v>106</v>
      </c>
      <c r="F156" s="43" t="s">
        <v>72</v>
      </c>
      <c r="G156" s="43" t="s">
        <v>81</v>
      </c>
      <c r="H156" s="43" t="s">
        <v>206</v>
      </c>
      <c r="I156" s="43" t="s">
        <v>106</v>
      </c>
      <c r="J156" s="43" t="s">
        <v>77</v>
      </c>
      <c r="K156" s="43" t="s">
        <v>206</v>
      </c>
      <c r="L156" s="43" t="s">
        <v>106</v>
      </c>
      <c r="M156" s="43" t="s">
        <v>74</v>
      </c>
      <c r="N156" s="43" t="s">
        <v>205</v>
      </c>
      <c r="O156" s="43" t="s">
        <v>106</v>
      </c>
      <c r="P156" s="43" t="s">
        <v>72</v>
      </c>
      <c r="Q156" s="43"/>
      <c r="R156" s="43"/>
      <c r="S156" s="122"/>
      <c r="T156" s="43"/>
    </row>
    <row r="157" spans="1:20" s="90" customFormat="1" x14ac:dyDescent="0.3">
      <c r="A157" s="27">
        <v>1</v>
      </c>
      <c r="B157" s="42" t="s">
        <v>41</v>
      </c>
      <c r="C157" s="42" t="s">
        <v>86</v>
      </c>
      <c r="D157" s="43" t="s">
        <v>209</v>
      </c>
      <c r="E157" s="43" t="s">
        <v>204</v>
      </c>
      <c r="F157" s="43" t="s">
        <v>72</v>
      </c>
      <c r="G157" s="43" t="s">
        <v>81</v>
      </c>
      <c r="H157" s="43" t="s">
        <v>206</v>
      </c>
      <c r="I157" s="43" t="s">
        <v>204</v>
      </c>
      <c r="J157" s="43" t="s">
        <v>77</v>
      </c>
      <c r="K157" s="43" t="s">
        <v>206</v>
      </c>
      <c r="L157" s="43" t="s">
        <v>204</v>
      </c>
      <c r="M157" s="43" t="s">
        <v>74</v>
      </c>
      <c r="N157" s="43" t="s">
        <v>205</v>
      </c>
      <c r="O157" s="43" t="s">
        <v>204</v>
      </c>
      <c r="P157" s="43" t="s">
        <v>72</v>
      </c>
      <c r="Q157" s="43"/>
      <c r="R157" s="43"/>
      <c r="S157" s="122"/>
      <c r="T157" s="43"/>
    </row>
    <row r="158" spans="1:20" s="90" customFormat="1" x14ac:dyDescent="0.3">
      <c r="A158" s="27">
        <v>1</v>
      </c>
      <c r="B158" s="42" t="s">
        <v>41</v>
      </c>
      <c r="C158" s="42" t="s">
        <v>86</v>
      </c>
      <c r="D158" s="43" t="s">
        <v>209</v>
      </c>
      <c r="E158" s="43" t="s">
        <v>31</v>
      </c>
      <c r="F158" s="42" t="s">
        <v>84</v>
      </c>
      <c r="G158" s="43" t="s">
        <v>81</v>
      </c>
      <c r="H158" s="43" t="s">
        <v>206</v>
      </c>
      <c r="I158" s="43" t="s">
        <v>31</v>
      </c>
      <c r="J158" s="43" t="s">
        <v>77</v>
      </c>
      <c r="K158" s="43" t="s">
        <v>206</v>
      </c>
      <c r="L158" s="43" t="s">
        <v>31</v>
      </c>
      <c r="M158" s="43"/>
      <c r="N158" s="43"/>
      <c r="O158" s="43"/>
      <c r="P158" s="43"/>
      <c r="Q158" s="43"/>
      <c r="R158" s="43"/>
      <c r="S158" s="122"/>
      <c r="T158" s="43"/>
    </row>
    <row r="159" spans="1:20" s="89" customFormat="1" x14ac:dyDescent="0.3">
      <c r="A159" s="27">
        <v>1</v>
      </c>
      <c r="B159" s="42" t="s">
        <v>41</v>
      </c>
      <c r="C159" s="42" t="s">
        <v>86</v>
      </c>
      <c r="D159" s="43" t="s">
        <v>209</v>
      </c>
      <c r="E159" s="43" t="s">
        <v>75</v>
      </c>
      <c r="F159" s="42" t="s">
        <v>62</v>
      </c>
      <c r="G159" s="43" t="s">
        <v>81</v>
      </c>
      <c r="H159" s="43" t="s">
        <v>206</v>
      </c>
      <c r="I159" s="43" t="s">
        <v>75</v>
      </c>
      <c r="J159" s="43" t="s">
        <v>77</v>
      </c>
      <c r="K159" s="43" t="s">
        <v>206</v>
      </c>
      <c r="L159" s="43" t="s">
        <v>75</v>
      </c>
      <c r="M159" s="43"/>
      <c r="N159" s="43"/>
      <c r="O159" s="43"/>
      <c r="P159" s="43"/>
      <c r="Q159" s="42"/>
      <c r="R159" s="42"/>
      <c r="S159" s="122"/>
      <c r="T159" s="42"/>
    </row>
    <row r="160" spans="1:20" s="90" customFormat="1" x14ac:dyDescent="0.3">
      <c r="A160" s="27">
        <v>1</v>
      </c>
      <c r="B160" s="42" t="s">
        <v>41</v>
      </c>
      <c r="C160" s="42" t="s">
        <v>86</v>
      </c>
      <c r="D160" s="43" t="s">
        <v>209</v>
      </c>
      <c r="E160" s="43" t="s">
        <v>78</v>
      </c>
      <c r="F160" s="42" t="s">
        <v>62</v>
      </c>
      <c r="G160" s="43" t="s">
        <v>81</v>
      </c>
      <c r="H160" s="43" t="s">
        <v>206</v>
      </c>
      <c r="I160" s="43" t="s">
        <v>78</v>
      </c>
      <c r="J160" s="43"/>
      <c r="K160" s="43"/>
      <c r="L160" s="43"/>
      <c r="M160" s="43"/>
      <c r="N160" s="43"/>
      <c r="O160" s="43"/>
      <c r="P160" s="43"/>
      <c r="Q160" s="97"/>
      <c r="R160" s="43"/>
      <c r="S160" s="122"/>
      <c r="T160" s="43"/>
    </row>
    <row r="161" spans="1:20" s="90" customFormat="1" x14ac:dyDescent="0.3">
      <c r="A161" s="27">
        <v>1</v>
      </c>
      <c r="B161" s="42" t="s">
        <v>41</v>
      </c>
      <c r="C161" s="42" t="s">
        <v>86</v>
      </c>
      <c r="D161" s="43" t="s">
        <v>209</v>
      </c>
      <c r="E161" s="43" t="s">
        <v>20</v>
      </c>
      <c r="F161" s="42" t="s">
        <v>62</v>
      </c>
      <c r="G161" s="43" t="s">
        <v>81</v>
      </c>
      <c r="H161" s="43" t="s">
        <v>206</v>
      </c>
      <c r="I161" s="43" t="s">
        <v>20</v>
      </c>
      <c r="J161" s="43"/>
      <c r="K161" s="43"/>
      <c r="L161" s="43"/>
      <c r="M161" s="43"/>
      <c r="N161" s="43"/>
      <c r="O161" s="43"/>
      <c r="P161" s="43"/>
      <c r="Q161" s="43"/>
      <c r="R161" s="43"/>
      <c r="S161" s="122"/>
      <c r="T161" s="43"/>
    </row>
    <row r="162" spans="1:20" s="90" customFormat="1" x14ac:dyDescent="0.3">
      <c r="A162" s="27">
        <v>1</v>
      </c>
      <c r="B162" s="42" t="s">
        <v>41</v>
      </c>
      <c r="C162" s="42" t="s">
        <v>86</v>
      </c>
      <c r="D162" s="43" t="s">
        <v>209</v>
      </c>
      <c r="E162" s="43" t="s">
        <v>79</v>
      </c>
      <c r="F162" s="42" t="s">
        <v>44</v>
      </c>
      <c r="G162" s="43" t="s">
        <v>81</v>
      </c>
      <c r="H162" s="43" t="s">
        <v>206</v>
      </c>
      <c r="I162" s="43" t="s">
        <v>79</v>
      </c>
      <c r="J162" s="43"/>
      <c r="K162" s="43"/>
      <c r="L162" s="43"/>
      <c r="M162" s="43"/>
      <c r="N162" s="43"/>
      <c r="O162" s="43"/>
      <c r="P162" s="43"/>
      <c r="Q162" s="43"/>
      <c r="R162" s="43"/>
      <c r="S162" s="122"/>
      <c r="T162" s="43"/>
    </row>
    <row r="163" spans="1:20" s="90" customFormat="1" x14ac:dyDescent="0.3">
      <c r="A163" s="27">
        <v>1</v>
      </c>
      <c r="B163" s="42" t="s">
        <v>41</v>
      </c>
      <c r="C163" s="42" t="s">
        <v>86</v>
      </c>
      <c r="D163" s="43" t="s">
        <v>209</v>
      </c>
      <c r="E163" s="43" t="s">
        <v>80</v>
      </c>
      <c r="F163" s="42" t="s">
        <v>44</v>
      </c>
      <c r="G163" s="43" t="s">
        <v>81</v>
      </c>
      <c r="H163" s="43" t="s">
        <v>206</v>
      </c>
      <c r="I163" s="43" t="s">
        <v>80</v>
      </c>
      <c r="J163" s="43"/>
      <c r="K163" s="43"/>
      <c r="L163" s="43"/>
      <c r="M163" s="43"/>
      <c r="N163" s="43"/>
      <c r="O163" s="43"/>
      <c r="P163" s="43"/>
      <c r="Q163" s="43"/>
      <c r="R163" s="43"/>
      <c r="S163" s="122"/>
      <c r="T163" s="43"/>
    </row>
    <row r="164" spans="1:20" s="103" customFormat="1" x14ac:dyDescent="0.3">
      <c r="A164" s="27">
        <v>1</v>
      </c>
      <c r="B164" s="102" t="s">
        <v>41</v>
      </c>
      <c r="C164" s="102" t="s">
        <v>86</v>
      </c>
      <c r="D164" s="101" t="s">
        <v>327</v>
      </c>
      <c r="E164" s="101" t="s">
        <v>329</v>
      </c>
      <c r="F164" s="101" t="s">
        <v>210</v>
      </c>
      <c r="G164" s="101"/>
      <c r="H164" s="102"/>
      <c r="I164" s="101"/>
    </row>
    <row r="165" spans="1:20" s="103" customFormat="1" x14ac:dyDescent="0.3">
      <c r="A165" s="27"/>
      <c r="B165" s="102"/>
      <c r="C165" s="102" t="s">
        <v>86</v>
      </c>
      <c r="D165" s="101" t="s">
        <v>327</v>
      </c>
      <c r="E165" s="101" t="s">
        <v>213</v>
      </c>
      <c r="F165" s="101" t="s">
        <v>210</v>
      </c>
      <c r="G165" s="101"/>
      <c r="H165" s="102"/>
      <c r="I165" s="101"/>
    </row>
    <row r="166" spans="1:20" s="103" customFormat="1" x14ac:dyDescent="0.3">
      <c r="A166" s="27">
        <v>1</v>
      </c>
      <c r="B166" s="102" t="s">
        <v>41</v>
      </c>
      <c r="C166" s="102" t="s">
        <v>86</v>
      </c>
      <c r="D166" s="101" t="s">
        <v>327</v>
      </c>
      <c r="E166" s="101" t="s">
        <v>330</v>
      </c>
      <c r="F166" s="101" t="s">
        <v>72</v>
      </c>
      <c r="G166" s="101" t="s">
        <v>81</v>
      </c>
      <c r="H166" s="102" t="s">
        <v>328</v>
      </c>
      <c r="I166" s="101" t="s">
        <v>331</v>
      </c>
      <c r="J166" s="103" t="s">
        <v>77</v>
      </c>
      <c r="K166" s="103" t="s">
        <v>328</v>
      </c>
      <c r="L166" s="101" t="s">
        <v>331</v>
      </c>
      <c r="M166" s="103" t="s">
        <v>74</v>
      </c>
      <c r="N166" s="103" t="s">
        <v>332</v>
      </c>
      <c r="O166" s="101" t="s">
        <v>331</v>
      </c>
      <c r="P166" s="103" t="s">
        <v>72</v>
      </c>
    </row>
    <row r="167" spans="1:20" s="103" customFormat="1" x14ac:dyDescent="0.3">
      <c r="A167" s="27">
        <v>1</v>
      </c>
      <c r="B167" s="102" t="s">
        <v>41</v>
      </c>
      <c r="C167" s="102" t="s">
        <v>86</v>
      </c>
      <c r="D167" s="101" t="s">
        <v>327</v>
      </c>
      <c r="E167" s="101" t="s">
        <v>9</v>
      </c>
      <c r="F167" s="101" t="s">
        <v>72</v>
      </c>
      <c r="G167" s="101" t="s">
        <v>81</v>
      </c>
      <c r="H167" s="102" t="s">
        <v>328</v>
      </c>
      <c r="I167" s="101" t="s">
        <v>9</v>
      </c>
      <c r="J167" s="103" t="s">
        <v>77</v>
      </c>
      <c r="K167" s="103" t="s">
        <v>328</v>
      </c>
      <c r="L167" s="101" t="s">
        <v>9</v>
      </c>
      <c r="M167" s="103" t="s">
        <v>74</v>
      </c>
      <c r="N167" s="103" t="s">
        <v>332</v>
      </c>
      <c r="O167" s="101" t="s">
        <v>9</v>
      </c>
      <c r="P167" s="103" t="s">
        <v>72</v>
      </c>
    </row>
    <row r="168" spans="1:20" s="103" customFormat="1" x14ac:dyDescent="0.3">
      <c r="A168" s="27">
        <v>1</v>
      </c>
      <c r="B168" s="102" t="s">
        <v>41</v>
      </c>
      <c r="C168" s="102" t="s">
        <v>86</v>
      </c>
      <c r="D168" s="101" t="s">
        <v>327</v>
      </c>
      <c r="E168" s="101" t="s">
        <v>31</v>
      </c>
      <c r="F168" s="101" t="s">
        <v>84</v>
      </c>
      <c r="G168" s="101" t="s">
        <v>81</v>
      </c>
      <c r="H168" s="102" t="s">
        <v>328</v>
      </c>
      <c r="I168" s="101" t="s">
        <v>31</v>
      </c>
      <c r="J168" s="103" t="s">
        <v>77</v>
      </c>
      <c r="K168" s="103" t="s">
        <v>328</v>
      </c>
      <c r="L168" s="101" t="s">
        <v>31</v>
      </c>
    </row>
    <row r="169" spans="1:20" s="103" customFormat="1" x14ac:dyDescent="0.3">
      <c r="A169" s="27">
        <v>1</v>
      </c>
      <c r="B169" s="102" t="s">
        <v>41</v>
      </c>
      <c r="C169" s="102" t="s">
        <v>86</v>
      </c>
      <c r="D169" s="101" t="s">
        <v>327</v>
      </c>
      <c r="E169" s="101" t="s">
        <v>75</v>
      </c>
      <c r="F169" s="101" t="s">
        <v>62</v>
      </c>
      <c r="G169" s="101" t="s">
        <v>81</v>
      </c>
      <c r="H169" s="102" t="s">
        <v>328</v>
      </c>
      <c r="I169" s="101" t="s">
        <v>75</v>
      </c>
      <c r="J169" s="103" t="s">
        <v>77</v>
      </c>
      <c r="K169" s="103" t="s">
        <v>328</v>
      </c>
      <c r="L169" s="101" t="s">
        <v>75</v>
      </c>
    </row>
    <row r="170" spans="1:20" s="103" customFormat="1" x14ac:dyDescent="0.3">
      <c r="A170" s="27">
        <v>1</v>
      </c>
      <c r="B170" s="102" t="s">
        <v>41</v>
      </c>
      <c r="C170" s="102" t="s">
        <v>86</v>
      </c>
      <c r="D170" s="101" t="s">
        <v>327</v>
      </c>
      <c r="E170" s="101" t="s">
        <v>78</v>
      </c>
      <c r="F170" s="101" t="s">
        <v>62</v>
      </c>
      <c r="G170" s="101" t="s">
        <v>81</v>
      </c>
      <c r="H170" s="102" t="s">
        <v>328</v>
      </c>
      <c r="I170" s="101" t="s">
        <v>78</v>
      </c>
    </row>
    <row r="171" spans="1:20" s="103" customFormat="1" x14ac:dyDescent="0.3">
      <c r="A171" s="27">
        <v>1</v>
      </c>
      <c r="B171" s="102" t="s">
        <v>41</v>
      </c>
      <c r="C171" s="102" t="s">
        <v>86</v>
      </c>
      <c r="D171" s="101" t="s">
        <v>327</v>
      </c>
      <c r="E171" s="101" t="s">
        <v>20</v>
      </c>
      <c r="F171" s="101" t="s">
        <v>62</v>
      </c>
      <c r="G171" s="101" t="s">
        <v>81</v>
      </c>
      <c r="H171" s="102" t="s">
        <v>328</v>
      </c>
      <c r="I171" s="101" t="s">
        <v>20</v>
      </c>
    </row>
    <row r="172" spans="1:20" s="103" customFormat="1" x14ac:dyDescent="0.3">
      <c r="A172" s="27">
        <v>1</v>
      </c>
      <c r="B172" s="102" t="s">
        <v>41</v>
      </c>
      <c r="C172" s="102" t="s">
        <v>86</v>
      </c>
      <c r="D172" s="101" t="s">
        <v>327</v>
      </c>
      <c r="E172" s="101" t="s">
        <v>79</v>
      </c>
      <c r="F172" s="101" t="s">
        <v>44</v>
      </c>
      <c r="G172" s="101" t="s">
        <v>81</v>
      </c>
      <c r="H172" s="102" t="s">
        <v>328</v>
      </c>
      <c r="I172" s="101" t="s">
        <v>79</v>
      </c>
    </row>
    <row r="173" spans="1:20" s="103" customFormat="1" x14ac:dyDescent="0.3">
      <c r="A173" s="27">
        <v>1</v>
      </c>
      <c r="B173" s="102" t="s">
        <v>41</v>
      </c>
      <c r="C173" s="102" t="s">
        <v>86</v>
      </c>
      <c r="D173" s="101" t="s">
        <v>327</v>
      </c>
      <c r="E173" s="101" t="s">
        <v>80</v>
      </c>
      <c r="F173" s="101" t="s">
        <v>44</v>
      </c>
      <c r="G173" s="101" t="s">
        <v>81</v>
      </c>
      <c r="H173" s="102" t="s">
        <v>328</v>
      </c>
      <c r="I173" s="101" t="s">
        <v>80</v>
      </c>
    </row>
    <row r="174" spans="1:20" s="89" customFormat="1" ht="13.5" customHeight="1" x14ac:dyDescent="0.3">
      <c r="A174" s="27">
        <v>1</v>
      </c>
      <c r="B174" s="53" t="s">
        <v>42</v>
      </c>
      <c r="C174" s="53" t="s">
        <v>86</v>
      </c>
      <c r="D174" s="54" t="s">
        <v>220</v>
      </c>
      <c r="E174" s="54" t="s">
        <v>211</v>
      </c>
      <c r="F174" s="54" t="s">
        <v>210</v>
      </c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123"/>
      <c r="T174" s="55"/>
    </row>
    <row r="175" spans="1:20" s="89" customFormat="1" ht="13.5" customHeight="1" x14ac:dyDescent="0.3">
      <c r="A175" s="27">
        <v>1</v>
      </c>
      <c r="B175" s="53" t="s">
        <v>42</v>
      </c>
      <c r="C175" s="53" t="s">
        <v>86</v>
      </c>
      <c r="D175" s="54" t="s">
        <v>220</v>
      </c>
      <c r="E175" s="54" t="s">
        <v>163</v>
      </c>
      <c r="F175" s="54" t="s">
        <v>210</v>
      </c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124"/>
      <c r="T175" s="55"/>
    </row>
    <row r="176" spans="1:20" s="89" customFormat="1" x14ac:dyDescent="0.3">
      <c r="A176" s="27">
        <v>1</v>
      </c>
      <c r="B176" s="53" t="s">
        <v>42</v>
      </c>
      <c r="C176" s="53" t="s">
        <v>86</v>
      </c>
      <c r="D176" s="54" t="s">
        <v>220</v>
      </c>
      <c r="E176" s="54" t="s">
        <v>200</v>
      </c>
      <c r="F176" s="54" t="s">
        <v>210</v>
      </c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124"/>
      <c r="T176" s="55"/>
    </row>
    <row r="177" spans="1:20" s="89" customFormat="1" x14ac:dyDescent="0.3">
      <c r="A177" s="27">
        <v>1</v>
      </c>
      <c r="B177" s="53" t="s">
        <v>42</v>
      </c>
      <c r="C177" s="53" t="s">
        <v>86</v>
      </c>
      <c r="D177" s="54" t="s">
        <v>220</v>
      </c>
      <c r="E177" s="54" t="s">
        <v>212</v>
      </c>
      <c r="F177" s="54" t="s">
        <v>210</v>
      </c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124"/>
      <c r="T177" s="55"/>
    </row>
    <row r="178" spans="1:20" s="89" customFormat="1" x14ac:dyDescent="0.3">
      <c r="A178" s="27">
        <v>1</v>
      </c>
      <c r="B178" s="53" t="s">
        <v>42</v>
      </c>
      <c r="C178" s="53" t="s">
        <v>86</v>
      </c>
      <c r="D178" s="54" t="s">
        <v>220</v>
      </c>
      <c r="E178" s="54" t="s">
        <v>329</v>
      </c>
      <c r="F178" s="54" t="s">
        <v>210</v>
      </c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124"/>
      <c r="T178" s="55"/>
    </row>
    <row r="179" spans="1:20" s="89" customFormat="1" x14ac:dyDescent="0.3">
      <c r="A179" s="27">
        <v>1</v>
      </c>
      <c r="B179" s="53" t="s">
        <v>42</v>
      </c>
      <c r="C179" s="53" t="s">
        <v>86</v>
      </c>
      <c r="D179" s="54" t="s">
        <v>220</v>
      </c>
      <c r="E179" s="54" t="s">
        <v>214</v>
      </c>
      <c r="F179" s="54" t="s">
        <v>13</v>
      </c>
      <c r="G179" s="54" t="s">
        <v>81</v>
      </c>
      <c r="H179" s="54" t="s">
        <v>218</v>
      </c>
      <c r="I179" s="54" t="s">
        <v>214</v>
      </c>
      <c r="J179" s="54" t="s">
        <v>77</v>
      </c>
      <c r="K179" s="54" t="s">
        <v>218</v>
      </c>
      <c r="L179" s="54" t="s">
        <v>214</v>
      </c>
      <c r="M179" s="54" t="s">
        <v>74</v>
      </c>
      <c r="N179" s="54" t="s">
        <v>222</v>
      </c>
      <c r="O179" s="54" t="s">
        <v>214</v>
      </c>
      <c r="P179" s="54" t="s">
        <v>13</v>
      </c>
      <c r="Q179" s="54"/>
      <c r="R179" s="54"/>
      <c r="S179" s="124"/>
      <c r="T179" s="55"/>
    </row>
    <row r="180" spans="1:20" s="89" customFormat="1" x14ac:dyDescent="0.3">
      <c r="A180" s="27">
        <v>1</v>
      </c>
      <c r="B180" s="53" t="s">
        <v>42</v>
      </c>
      <c r="C180" s="53" t="s">
        <v>86</v>
      </c>
      <c r="D180" s="54" t="s">
        <v>220</v>
      </c>
      <c r="E180" s="54" t="s">
        <v>215</v>
      </c>
      <c r="F180" s="54" t="s">
        <v>219</v>
      </c>
      <c r="G180" s="54" t="s">
        <v>81</v>
      </c>
      <c r="H180" s="54" t="s">
        <v>195</v>
      </c>
      <c r="I180" s="54" t="s">
        <v>215</v>
      </c>
      <c r="J180" s="54" t="s">
        <v>77</v>
      </c>
      <c r="K180" s="54" t="s">
        <v>195</v>
      </c>
      <c r="L180" s="54" t="s">
        <v>215</v>
      </c>
      <c r="M180" s="54" t="s">
        <v>74</v>
      </c>
      <c r="N180" s="54" t="s">
        <v>193</v>
      </c>
      <c r="O180" s="54" t="s">
        <v>215</v>
      </c>
      <c r="P180" s="54" t="s">
        <v>219</v>
      </c>
      <c r="Q180" s="54"/>
      <c r="R180" s="54"/>
      <c r="S180" s="124"/>
      <c r="T180" s="55"/>
    </row>
    <row r="181" spans="1:20" s="89" customFormat="1" x14ac:dyDescent="0.3">
      <c r="A181" s="27">
        <v>1</v>
      </c>
      <c r="B181" s="53" t="s">
        <v>42</v>
      </c>
      <c r="C181" s="53" t="s">
        <v>86</v>
      </c>
      <c r="D181" s="54" t="s">
        <v>220</v>
      </c>
      <c r="E181" s="54" t="s">
        <v>216</v>
      </c>
      <c r="F181" s="54" t="s">
        <v>219</v>
      </c>
      <c r="G181" s="54" t="s">
        <v>81</v>
      </c>
      <c r="H181" s="54" t="s">
        <v>218</v>
      </c>
      <c r="I181" s="54" t="s">
        <v>216</v>
      </c>
      <c r="J181" s="54" t="s">
        <v>77</v>
      </c>
      <c r="K181" s="54" t="s">
        <v>218</v>
      </c>
      <c r="L181" s="54" t="s">
        <v>216</v>
      </c>
      <c r="M181" s="54" t="s">
        <v>74</v>
      </c>
      <c r="N181" s="54" t="s">
        <v>222</v>
      </c>
      <c r="O181" s="54" t="s">
        <v>216</v>
      </c>
      <c r="P181" s="54" t="s">
        <v>219</v>
      </c>
      <c r="Q181" s="54"/>
      <c r="R181" s="54"/>
      <c r="S181" s="124"/>
      <c r="T181" s="55"/>
    </row>
    <row r="182" spans="1:20" s="89" customFormat="1" x14ac:dyDescent="0.3">
      <c r="A182" s="27">
        <v>1</v>
      </c>
      <c r="B182" s="53" t="s">
        <v>42</v>
      </c>
      <c r="C182" s="53" t="s">
        <v>86</v>
      </c>
      <c r="D182" s="54" t="s">
        <v>220</v>
      </c>
      <c r="E182" s="54" t="s">
        <v>217</v>
      </c>
      <c r="F182" s="54" t="s">
        <v>219</v>
      </c>
      <c r="G182" s="54" t="s">
        <v>81</v>
      </c>
      <c r="H182" s="54" t="s">
        <v>218</v>
      </c>
      <c r="I182" s="54" t="s">
        <v>217</v>
      </c>
      <c r="J182" s="54" t="s">
        <v>77</v>
      </c>
      <c r="K182" s="54" t="s">
        <v>218</v>
      </c>
      <c r="L182" s="54" t="s">
        <v>217</v>
      </c>
      <c r="M182" s="54" t="s">
        <v>74</v>
      </c>
      <c r="N182" s="54" t="s">
        <v>222</v>
      </c>
      <c r="O182" s="54" t="s">
        <v>217</v>
      </c>
      <c r="P182" s="54" t="s">
        <v>219</v>
      </c>
      <c r="Q182" s="54"/>
      <c r="R182" s="54"/>
      <c r="S182" s="124"/>
      <c r="T182" s="55"/>
    </row>
    <row r="183" spans="1:20" s="89" customFormat="1" x14ac:dyDescent="0.3">
      <c r="A183" s="27">
        <v>1</v>
      </c>
      <c r="B183" s="53" t="s">
        <v>42</v>
      </c>
      <c r="C183" s="53" t="s">
        <v>86</v>
      </c>
      <c r="D183" s="54" t="s">
        <v>220</v>
      </c>
      <c r="E183" s="54" t="s">
        <v>221</v>
      </c>
      <c r="F183" s="54" t="s">
        <v>176</v>
      </c>
      <c r="G183" s="54" t="s">
        <v>81</v>
      </c>
      <c r="H183" s="54" t="s">
        <v>218</v>
      </c>
      <c r="I183" s="54" t="s">
        <v>221</v>
      </c>
      <c r="J183" s="54" t="s">
        <v>77</v>
      </c>
      <c r="K183" s="54" t="s">
        <v>218</v>
      </c>
      <c r="L183" s="54" t="s">
        <v>221</v>
      </c>
      <c r="M183" s="54" t="s">
        <v>74</v>
      </c>
      <c r="N183" s="54" t="s">
        <v>222</v>
      </c>
      <c r="O183" s="54" t="s">
        <v>221</v>
      </c>
      <c r="P183" s="54" t="s">
        <v>176</v>
      </c>
      <c r="Q183" s="54"/>
      <c r="R183" s="54"/>
      <c r="S183" s="124"/>
      <c r="T183" s="55"/>
    </row>
    <row r="184" spans="1:20" s="89" customFormat="1" x14ac:dyDescent="0.3">
      <c r="A184" s="27">
        <v>1</v>
      </c>
      <c r="B184" s="53" t="s">
        <v>42</v>
      </c>
      <c r="C184" s="53" t="s">
        <v>86</v>
      </c>
      <c r="D184" s="54" t="s">
        <v>220</v>
      </c>
      <c r="E184" s="54" t="s">
        <v>335</v>
      </c>
      <c r="F184" s="54" t="s">
        <v>152</v>
      </c>
      <c r="G184" s="54" t="s">
        <v>81</v>
      </c>
      <c r="H184" s="54" t="s">
        <v>218</v>
      </c>
      <c r="I184" s="54" t="s">
        <v>335</v>
      </c>
      <c r="J184" s="54" t="s">
        <v>77</v>
      </c>
      <c r="K184" s="54" t="s">
        <v>218</v>
      </c>
      <c r="L184" s="54" t="s">
        <v>335</v>
      </c>
      <c r="M184" s="54" t="s">
        <v>74</v>
      </c>
      <c r="N184" s="54" t="s">
        <v>222</v>
      </c>
      <c r="O184" s="54" t="s">
        <v>335</v>
      </c>
      <c r="P184" s="54" t="s">
        <v>152</v>
      </c>
      <c r="Q184" s="54"/>
      <c r="R184" s="54"/>
      <c r="S184" s="100"/>
      <c r="T184" s="55"/>
    </row>
    <row r="185" spans="1:20" s="89" customFormat="1" x14ac:dyDescent="0.3">
      <c r="A185" s="27">
        <v>1</v>
      </c>
      <c r="B185" s="53" t="s">
        <v>42</v>
      </c>
      <c r="C185" s="53" t="s">
        <v>86</v>
      </c>
      <c r="D185" s="54" t="s">
        <v>220</v>
      </c>
      <c r="E185" s="54" t="s">
        <v>338</v>
      </c>
      <c r="F185" s="54" t="s">
        <v>152</v>
      </c>
      <c r="G185" s="54" t="s">
        <v>81</v>
      </c>
      <c r="H185" s="54" t="s">
        <v>218</v>
      </c>
      <c r="I185" s="54" t="s">
        <v>338</v>
      </c>
      <c r="J185" s="54" t="s">
        <v>77</v>
      </c>
      <c r="K185" s="54" t="s">
        <v>218</v>
      </c>
      <c r="L185" s="54" t="s">
        <v>338</v>
      </c>
      <c r="M185" s="54" t="s">
        <v>74</v>
      </c>
      <c r="N185" s="54" t="s">
        <v>222</v>
      </c>
      <c r="O185" s="54" t="s">
        <v>338</v>
      </c>
      <c r="P185" s="54" t="s">
        <v>152</v>
      </c>
      <c r="Q185" s="54"/>
      <c r="R185" s="54"/>
      <c r="S185" s="100"/>
      <c r="T185" s="55"/>
    </row>
    <row r="186" spans="1:20" s="89" customFormat="1" ht="13.5" customHeight="1" x14ac:dyDescent="0.3">
      <c r="A186" s="27">
        <v>1</v>
      </c>
      <c r="B186" s="31" t="s">
        <v>42</v>
      </c>
      <c r="C186" s="31" t="s">
        <v>86</v>
      </c>
      <c r="D186" s="16" t="s">
        <v>234</v>
      </c>
      <c r="E186" s="16" t="s">
        <v>223</v>
      </c>
      <c r="F186" s="16" t="s">
        <v>30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91"/>
      <c r="T186" s="48"/>
    </row>
    <row r="187" spans="1:20" s="89" customFormat="1" ht="14.4" customHeight="1" x14ac:dyDescent="0.3">
      <c r="A187" s="27">
        <v>1</v>
      </c>
      <c r="B187" s="31" t="s">
        <v>42</v>
      </c>
      <c r="C187" s="31" t="s">
        <v>86</v>
      </c>
      <c r="D187" s="16" t="s">
        <v>234</v>
      </c>
      <c r="E187" s="16" t="s">
        <v>93</v>
      </c>
      <c r="F187" s="16" t="s">
        <v>30</v>
      </c>
      <c r="G187" s="17"/>
      <c r="H187" s="16"/>
      <c r="I187" s="16"/>
      <c r="J187" s="17"/>
      <c r="K187" s="16"/>
      <c r="L187" s="16"/>
      <c r="M187" s="17"/>
      <c r="N187" s="16"/>
      <c r="O187" s="16"/>
      <c r="P187" s="16"/>
      <c r="Q187" s="16"/>
      <c r="R187" s="16"/>
      <c r="S187" s="92"/>
      <c r="T187" s="48"/>
    </row>
    <row r="188" spans="1:20" s="89" customFormat="1" x14ac:dyDescent="0.3">
      <c r="A188" s="27">
        <v>1</v>
      </c>
      <c r="B188" s="31" t="s">
        <v>42</v>
      </c>
      <c r="C188" s="31" t="s">
        <v>86</v>
      </c>
      <c r="D188" s="16" t="s">
        <v>234</v>
      </c>
      <c r="E188" s="16" t="s">
        <v>224</v>
      </c>
      <c r="F188" s="16" t="s">
        <v>30</v>
      </c>
      <c r="G188" s="17"/>
      <c r="H188" s="16"/>
      <c r="I188" s="16"/>
      <c r="J188" s="17"/>
      <c r="K188" s="16"/>
      <c r="L188" s="16"/>
      <c r="M188" s="17"/>
      <c r="N188" s="16"/>
      <c r="O188" s="16"/>
      <c r="P188" s="16"/>
      <c r="Q188" s="16"/>
      <c r="R188" s="16"/>
      <c r="S188" s="92"/>
      <c r="T188" s="48"/>
    </row>
    <row r="189" spans="1:20" s="89" customFormat="1" x14ac:dyDescent="0.3">
      <c r="A189" s="27">
        <v>1</v>
      </c>
      <c r="B189" s="31" t="s">
        <v>42</v>
      </c>
      <c r="C189" s="31" t="s">
        <v>86</v>
      </c>
      <c r="D189" s="16" t="s">
        <v>234</v>
      </c>
      <c r="E189" s="16" t="s">
        <v>163</v>
      </c>
      <c r="F189" s="16" t="s">
        <v>30</v>
      </c>
      <c r="G189" s="17"/>
      <c r="H189" s="18"/>
      <c r="I189" s="16"/>
      <c r="J189" s="17"/>
      <c r="K189" s="18"/>
      <c r="L189" s="17"/>
      <c r="M189" s="17"/>
      <c r="N189" s="18"/>
      <c r="O189" s="17"/>
      <c r="P189" s="17"/>
      <c r="Q189" s="16"/>
      <c r="R189" s="16"/>
      <c r="S189" s="92"/>
      <c r="T189" s="48"/>
    </row>
    <row r="190" spans="1:20" s="89" customFormat="1" x14ac:dyDescent="0.3">
      <c r="A190" s="27">
        <v>1</v>
      </c>
      <c r="B190" s="31" t="s">
        <v>42</v>
      </c>
      <c r="C190" s="31" t="s">
        <v>86</v>
      </c>
      <c r="D190" s="16" t="s">
        <v>234</v>
      </c>
      <c r="E190" s="16" t="s">
        <v>226</v>
      </c>
      <c r="F190" s="17" t="s">
        <v>13</v>
      </c>
      <c r="G190" s="17" t="s">
        <v>81</v>
      </c>
      <c r="H190" s="18" t="s">
        <v>232</v>
      </c>
      <c r="I190" s="16" t="s">
        <v>226</v>
      </c>
      <c r="J190" s="17" t="s">
        <v>77</v>
      </c>
      <c r="K190" s="18" t="s">
        <v>232</v>
      </c>
      <c r="L190" s="16" t="s">
        <v>226</v>
      </c>
      <c r="M190" s="17" t="s">
        <v>74</v>
      </c>
      <c r="N190" s="18" t="s">
        <v>233</v>
      </c>
      <c r="O190" s="16" t="s">
        <v>226</v>
      </c>
      <c r="P190" s="16" t="s">
        <v>230</v>
      </c>
      <c r="Q190" s="16"/>
      <c r="R190" s="16"/>
      <c r="S190" s="92"/>
      <c r="T190" s="48"/>
    </row>
    <row r="191" spans="1:20" s="89" customFormat="1" x14ac:dyDescent="0.3">
      <c r="A191" s="27">
        <v>1</v>
      </c>
      <c r="B191" s="31" t="s">
        <v>42</v>
      </c>
      <c r="C191" s="31" t="s">
        <v>86</v>
      </c>
      <c r="D191" s="16" t="s">
        <v>234</v>
      </c>
      <c r="E191" s="16" t="s">
        <v>227</v>
      </c>
      <c r="F191" s="16" t="s">
        <v>230</v>
      </c>
      <c r="G191" s="17" t="s">
        <v>81</v>
      </c>
      <c r="H191" s="18" t="s">
        <v>232</v>
      </c>
      <c r="I191" s="16" t="s">
        <v>227</v>
      </c>
      <c r="J191" s="17" t="s">
        <v>77</v>
      </c>
      <c r="K191" s="18" t="s">
        <v>232</v>
      </c>
      <c r="L191" s="16" t="s">
        <v>227</v>
      </c>
      <c r="M191" s="17" t="s">
        <v>74</v>
      </c>
      <c r="N191" s="18" t="s">
        <v>233</v>
      </c>
      <c r="O191" s="16" t="s">
        <v>227</v>
      </c>
      <c r="P191" s="16" t="s">
        <v>231</v>
      </c>
      <c r="Q191" s="16"/>
      <c r="R191" s="16"/>
      <c r="S191" s="92"/>
      <c r="T191" s="48"/>
    </row>
    <row r="192" spans="1:20" s="89" customFormat="1" x14ac:dyDescent="0.3">
      <c r="A192" s="27">
        <v>1</v>
      </c>
      <c r="B192" s="31" t="s">
        <v>42</v>
      </c>
      <c r="C192" s="31" t="s">
        <v>86</v>
      </c>
      <c r="D192" s="16" t="s">
        <v>234</v>
      </c>
      <c r="E192" s="16" t="s">
        <v>228</v>
      </c>
      <c r="F192" s="16" t="s">
        <v>231</v>
      </c>
      <c r="G192" s="17"/>
      <c r="H192" s="18"/>
      <c r="I192" s="17"/>
      <c r="J192" s="17"/>
      <c r="K192" s="18"/>
      <c r="L192" s="17"/>
      <c r="M192" s="17"/>
      <c r="N192" s="18"/>
      <c r="O192" s="17"/>
      <c r="P192" s="17"/>
      <c r="Q192" s="16"/>
      <c r="R192" s="16"/>
      <c r="S192" s="92"/>
      <c r="T192" s="48"/>
    </row>
    <row r="193" spans="1:20" s="89" customFormat="1" x14ac:dyDescent="0.3">
      <c r="A193" s="27">
        <v>1</v>
      </c>
      <c r="B193" s="31" t="s">
        <v>42</v>
      </c>
      <c r="C193" s="31" t="s">
        <v>86</v>
      </c>
      <c r="D193" s="16" t="s">
        <v>234</v>
      </c>
      <c r="E193" s="16" t="s">
        <v>225</v>
      </c>
      <c r="F193" s="16" t="s">
        <v>152</v>
      </c>
      <c r="G193" s="17"/>
      <c r="H193" s="18"/>
      <c r="I193" s="24"/>
      <c r="J193" s="17"/>
      <c r="K193" s="18"/>
      <c r="L193" s="24"/>
      <c r="M193" s="17"/>
      <c r="N193" s="18"/>
      <c r="O193" s="24"/>
      <c r="P193" s="24"/>
      <c r="Q193" s="16"/>
      <c r="R193" s="16"/>
      <c r="S193" s="92"/>
      <c r="T193" s="48"/>
    </row>
    <row r="194" spans="1:20" s="89" customFormat="1" x14ac:dyDescent="0.3">
      <c r="A194" s="27">
        <v>1</v>
      </c>
      <c r="B194" s="31" t="s">
        <v>42</v>
      </c>
      <c r="C194" s="31" t="s">
        <v>86</v>
      </c>
      <c r="D194" s="16" t="s">
        <v>234</v>
      </c>
      <c r="E194" s="16" t="s">
        <v>229</v>
      </c>
      <c r="F194" s="16" t="s">
        <v>219</v>
      </c>
      <c r="G194" s="17"/>
      <c r="H194" s="18"/>
      <c r="I194" s="17"/>
      <c r="J194" s="17"/>
      <c r="K194" s="18"/>
      <c r="L194" s="17"/>
      <c r="M194" s="17"/>
      <c r="N194" s="18"/>
      <c r="O194" s="17"/>
      <c r="P194" s="16"/>
      <c r="Q194" s="16"/>
      <c r="R194" s="16"/>
      <c r="S194" s="92"/>
      <c r="T194" s="48"/>
    </row>
    <row r="195" spans="1:20" s="89" customFormat="1" ht="14.4" customHeight="1" x14ac:dyDescent="0.3">
      <c r="A195" s="27">
        <v>1</v>
      </c>
      <c r="B195" s="56" t="s">
        <v>41</v>
      </c>
      <c r="C195" s="56" t="s">
        <v>86</v>
      </c>
      <c r="D195" s="57" t="s">
        <v>235</v>
      </c>
      <c r="E195" s="57" t="s">
        <v>237</v>
      </c>
      <c r="F195" s="57" t="s">
        <v>210</v>
      </c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7"/>
      <c r="R195" s="57"/>
      <c r="S195" s="118"/>
      <c r="T195" s="59"/>
    </row>
    <row r="196" spans="1:20" s="89" customFormat="1" ht="14.4" customHeight="1" x14ac:dyDescent="0.3">
      <c r="A196" s="27">
        <v>1</v>
      </c>
      <c r="B196" s="56" t="s">
        <v>41</v>
      </c>
      <c r="C196" s="56" t="s">
        <v>86</v>
      </c>
      <c r="D196" s="57" t="s">
        <v>235</v>
      </c>
      <c r="E196" s="57" t="s">
        <v>238</v>
      </c>
      <c r="F196" s="57" t="s">
        <v>72</v>
      </c>
      <c r="G196" s="58" t="s">
        <v>81</v>
      </c>
      <c r="H196" s="58" t="s">
        <v>236</v>
      </c>
      <c r="I196" s="57" t="s">
        <v>241</v>
      </c>
      <c r="J196" s="58" t="s">
        <v>77</v>
      </c>
      <c r="K196" s="58" t="s">
        <v>236</v>
      </c>
      <c r="L196" s="57" t="s">
        <v>241</v>
      </c>
      <c r="M196" s="58" t="s">
        <v>74</v>
      </c>
      <c r="N196" s="58" t="s">
        <v>242</v>
      </c>
      <c r="O196" s="57" t="s">
        <v>241</v>
      </c>
      <c r="P196" s="58"/>
      <c r="Q196" s="57"/>
      <c r="R196" s="59"/>
      <c r="S196" s="119"/>
      <c r="T196" s="59"/>
    </row>
    <row r="197" spans="1:20" s="89" customFormat="1" x14ac:dyDescent="0.3">
      <c r="A197" s="27">
        <v>1</v>
      </c>
      <c r="B197" s="56" t="s">
        <v>41</v>
      </c>
      <c r="C197" s="56" t="s">
        <v>86</v>
      </c>
      <c r="D197" s="57" t="s">
        <v>235</v>
      </c>
      <c r="E197" s="57" t="s">
        <v>239</v>
      </c>
      <c r="F197" s="57" t="s">
        <v>72</v>
      </c>
      <c r="G197" s="58" t="s">
        <v>81</v>
      </c>
      <c r="H197" s="58" t="s">
        <v>236</v>
      </c>
      <c r="I197" s="57" t="s">
        <v>239</v>
      </c>
      <c r="J197" s="58" t="s">
        <v>77</v>
      </c>
      <c r="K197" s="58" t="s">
        <v>236</v>
      </c>
      <c r="L197" s="57" t="s">
        <v>239</v>
      </c>
      <c r="M197" s="58" t="s">
        <v>74</v>
      </c>
      <c r="N197" s="58" t="s">
        <v>242</v>
      </c>
      <c r="O197" s="57" t="s">
        <v>239</v>
      </c>
      <c r="P197" s="58"/>
      <c r="Q197" s="85"/>
      <c r="R197" s="85"/>
      <c r="S197" s="119"/>
      <c r="T197" s="59"/>
    </row>
    <row r="198" spans="1:20" s="89" customFormat="1" x14ac:dyDescent="0.3">
      <c r="A198" s="27">
        <v>1</v>
      </c>
      <c r="B198" s="56" t="s">
        <v>41</v>
      </c>
      <c r="C198" s="56" t="s">
        <v>86</v>
      </c>
      <c r="D198" s="57" t="s">
        <v>235</v>
      </c>
      <c r="E198" s="57" t="s">
        <v>240</v>
      </c>
      <c r="F198" s="57" t="s">
        <v>13</v>
      </c>
      <c r="G198" s="58" t="s">
        <v>81</v>
      </c>
      <c r="H198" s="58" t="s">
        <v>236</v>
      </c>
      <c r="I198" s="57" t="s">
        <v>240</v>
      </c>
      <c r="J198" s="58" t="s">
        <v>77</v>
      </c>
      <c r="K198" s="58" t="s">
        <v>236</v>
      </c>
      <c r="L198" s="57" t="s">
        <v>240</v>
      </c>
      <c r="M198" s="58" t="s">
        <v>74</v>
      </c>
      <c r="N198" s="58" t="s">
        <v>242</v>
      </c>
      <c r="O198" s="57" t="s">
        <v>240</v>
      </c>
      <c r="P198" s="58"/>
      <c r="Q198" s="57"/>
      <c r="R198" s="57"/>
      <c r="S198" s="119"/>
      <c r="T198" s="59"/>
    </row>
    <row r="199" spans="1:20" s="89" customFormat="1" x14ac:dyDescent="0.3">
      <c r="A199" s="27">
        <v>1</v>
      </c>
      <c r="B199" s="56" t="s">
        <v>41</v>
      </c>
      <c r="C199" s="56" t="s">
        <v>86</v>
      </c>
      <c r="D199" s="57" t="s">
        <v>235</v>
      </c>
      <c r="E199" s="58" t="s">
        <v>31</v>
      </c>
      <c r="F199" s="57" t="s">
        <v>84</v>
      </c>
      <c r="G199" s="58" t="s">
        <v>81</v>
      </c>
      <c r="H199" s="58" t="s">
        <v>236</v>
      </c>
      <c r="I199" s="58" t="s">
        <v>31</v>
      </c>
      <c r="J199" s="58" t="s">
        <v>77</v>
      </c>
      <c r="K199" s="58" t="s">
        <v>236</v>
      </c>
      <c r="L199" s="58" t="s">
        <v>31</v>
      </c>
      <c r="M199" s="58"/>
      <c r="N199" s="58"/>
      <c r="O199" s="58"/>
      <c r="P199" s="58"/>
      <c r="Q199" s="57"/>
      <c r="R199" s="57"/>
      <c r="S199" s="119"/>
      <c r="T199" s="59"/>
    </row>
    <row r="200" spans="1:20" s="89" customFormat="1" x14ac:dyDescent="0.3">
      <c r="A200" s="27">
        <v>1</v>
      </c>
      <c r="B200" s="56" t="s">
        <v>41</v>
      </c>
      <c r="C200" s="56" t="s">
        <v>86</v>
      </c>
      <c r="D200" s="57" t="s">
        <v>235</v>
      </c>
      <c r="E200" s="58" t="s">
        <v>75</v>
      </c>
      <c r="F200" s="57" t="s">
        <v>62</v>
      </c>
      <c r="G200" s="58" t="s">
        <v>81</v>
      </c>
      <c r="H200" s="58" t="s">
        <v>236</v>
      </c>
      <c r="I200" s="58" t="s">
        <v>75</v>
      </c>
      <c r="J200" s="58" t="s">
        <v>77</v>
      </c>
      <c r="K200" s="58" t="s">
        <v>236</v>
      </c>
      <c r="L200" s="58" t="s">
        <v>75</v>
      </c>
      <c r="M200" s="58"/>
      <c r="N200" s="58"/>
      <c r="O200" s="58"/>
      <c r="P200" s="58"/>
      <c r="Q200" s="57"/>
      <c r="R200" s="57"/>
      <c r="S200" s="119"/>
      <c r="T200" s="59"/>
    </row>
    <row r="201" spans="1:20" s="89" customFormat="1" x14ac:dyDescent="0.3">
      <c r="A201" s="27">
        <v>1</v>
      </c>
      <c r="B201" s="56" t="s">
        <v>41</v>
      </c>
      <c r="C201" s="56" t="s">
        <v>86</v>
      </c>
      <c r="D201" s="57" t="s">
        <v>235</v>
      </c>
      <c r="E201" s="58" t="s">
        <v>78</v>
      </c>
      <c r="F201" s="57" t="s">
        <v>62</v>
      </c>
      <c r="G201" s="58" t="s">
        <v>81</v>
      </c>
      <c r="H201" s="58" t="s">
        <v>236</v>
      </c>
      <c r="I201" s="58" t="s">
        <v>78</v>
      </c>
      <c r="J201" s="58"/>
      <c r="K201" s="58"/>
      <c r="L201" s="58"/>
      <c r="M201" s="58"/>
      <c r="N201" s="58"/>
      <c r="O201" s="58"/>
      <c r="P201" s="58"/>
      <c r="Q201" s="57"/>
      <c r="R201" s="57"/>
      <c r="S201" s="119"/>
      <c r="T201" s="59"/>
    </row>
    <row r="202" spans="1:20" s="89" customFormat="1" x14ac:dyDescent="0.3">
      <c r="A202" s="27">
        <v>1</v>
      </c>
      <c r="B202" s="56" t="s">
        <v>41</v>
      </c>
      <c r="C202" s="56" t="s">
        <v>86</v>
      </c>
      <c r="D202" s="57" t="s">
        <v>235</v>
      </c>
      <c r="E202" s="58" t="s">
        <v>20</v>
      </c>
      <c r="F202" s="57" t="s">
        <v>62</v>
      </c>
      <c r="G202" s="58" t="s">
        <v>81</v>
      </c>
      <c r="H202" s="58" t="s">
        <v>236</v>
      </c>
      <c r="I202" s="58" t="s">
        <v>20</v>
      </c>
      <c r="J202" s="58"/>
      <c r="K202" s="58"/>
      <c r="L202" s="58"/>
      <c r="M202" s="58"/>
      <c r="N202" s="58"/>
      <c r="O202" s="58"/>
      <c r="P202" s="58"/>
      <c r="Q202" s="57"/>
      <c r="R202" s="57"/>
      <c r="S202" s="119"/>
      <c r="T202" s="59"/>
    </row>
    <row r="203" spans="1:20" s="89" customFormat="1" x14ac:dyDescent="0.3">
      <c r="A203" s="27">
        <v>1</v>
      </c>
      <c r="B203" s="56" t="s">
        <v>41</v>
      </c>
      <c r="C203" s="56" t="s">
        <v>86</v>
      </c>
      <c r="D203" s="57" t="s">
        <v>235</v>
      </c>
      <c r="E203" s="58" t="s">
        <v>79</v>
      </c>
      <c r="F203" s="57" t="s">
        <v>44</v>
      </c>
      <c r="G203" s="58" t="s">
        <v>81</v>
      </c>
      <c r="H203" s="58" t="s">
        <v>236</v>
      </c>
      <c r="I203" s="58" t="s">
        <v>79</v>
      </c>
      <c r="J203" s="58"/>
      <c r="K203" s="58"/>
      <c r="L203" s="58"/>
      <c r="M203" s="58"/>
      <c r="N203" s="58"/>
      <c r="O203" s="58"/>
      <c r="P203" s="58"/>
      <c r="Q203" s="57"/>
      <c r="R203" s="57"/>
      <c r="S203" s="120"/>
      <c r="T203" s="59"/>
    </row>
    <row r="204" spans="1:20" x14ac:dyDescent="0.3">
      <c r="A204" s="27">
        <v>1</v>
      </c>
      <c r="B204" s="56" t="s">
        <v>41</v>
      </c>
      <c r="C204" s="56" t="s">
        <v>86</v>
      </c>
      <c r="D204" s="57" t="s">
        <v>235</v>
      </c>
      <c r="E204" s="58" t="s">
        <v>80</v>
      </c>
      <c r="F204" s="57" t="s">
        <v>44</v>
      </c>
      <c r="G204" s="58" t="s">
        <v>81</v>
      </c>
      <c r="H204" s="58" t="s">
        <v>236</v>
      </c>
      <c r="I204" s="58" t="s">
        <v>80</v>
      </c>
      <c r="J204" s="58"/>
      <c r="K204" s="58"/>
      <c r="L204" s="58"/>
      <c r="M204" s="58"/>
      <c r="N204" s="58"/>
      <c r="O204" s="58"/>
      <c r="P204" s="58"/>
      <c r="Q204" s="57"/>
      <c r="R204" s="57"/>
      <c r="S204" s="96"/>
      <c r="T204" s="59"/>
    </row>
    <row r="205" spans="1:20" x14ac:dyDescent="0.3">
      <c r="A205" s="27">
        <v>1</v>
      </c>
      <c r="B205" s="63" t="s">
        <v>42</v>
      </c>
      <c r="C205" s="63" t="s">
        <v>86</v>
      </c>
      <c r="D205" s="63" t="s">
        <v>243</v>
      </c>
      <c r="E205" s="63" t="s">
        <v>237</v>
      </c>
      <c r="F205" s="63" t="s">
        <v>30</v>
      </c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105"/>
      <c r="T205" s="65"/>
    </row>
    <row r="206" spans="1:20" x14ac:dyDescent="0.3">
      <c r="A206" s="27">
        <v>1</v>
      </c>
      <c r="B206" s="63" t="s">
        <v>42</v>
      </c>
      <c r="C206" s="63" t="s">
        <v>86</v>
      </c>
      <c r="D206" s="63" t="s">
        <v>243</v>
      </c>
      <c r="E206" s="63" t="s">
        <v>163</v>
      </c>
      <c r="F206" s="63" t="s">
        <v>30</v>
      </c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106"/>
      <c r="T206" s="65"/>
    </row>
    <row r="207" spans="1:20" x14ac:dyDescent="0.3">
      <c r="A207" s="27">
        <v>1</v>
      </c>
      <c r="B207" s="63" t="s">
        <v>42</v>
      </c>
      <c r="C207" s="63" t="s">
        <v>86</v>
      </c>
      <c r="D207" s="63" t="s">
        <v>243</v>
      </c>
      <c r="E207" s="63" t="s">
        <v>93</v>
      </c>
      <c r="F207" s="63" t="s">
        <v>30</v>
      </c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106"/>
      <c r="T207" s="65"/>
    </row>
    <row r="208" spans="1:20" x14ac:dyDescent="0.3">
      <c r="A208" s="27">
        <v>1</v>
      </c>
      <c r="B208" s="63" t="s">
        <v>42</v>
      </c>
      <c r="C208" s="63" t="s">
        <v>86</v>
      </c>
      <c r="D208" s="63" t="s">
        <v>243</v>
      </c>
      <c r="E208" s="63" t="s">
        <v>244</v>
      </c>
      <c r="F208" s="63" t="s">
        <v>246</v>
      </c>
      <c r="G208" s="63" t="s">
        <v>81</v>
      </c>
      <c r="H208" s="63" t="s">
        <v>236</v>
      </c>
      <c r="I208" s="63" t="s">
        <v>244</v>
      </c>
      <c r="J208" s="63" t="s">
        <v>77</v>
      </c>
      <c r="K208" s="63" t="s">
        <v>236</v>
      </c>
      <c r="L208" s="63" t="s">
        <v>244</v>
      </c>
      <c r="M208" s="63" t="s">
        <v>74</v>
      </c>
      <c r="N208" s="63" t="s">
        <v>242</v>
      </c>
      <c r="O208" s="63" t="s">
        <v>244</v>
      </c>
      <c r="P208" s="63" t="s">
        <v>246</v>
      </c>
      <c r="Q208" s="63"/>
      <c r="R208" s="63"/>
      <c r="S208" s="106"/>
      <c r="T208" s="65"/>
    </row>
    <row r="209" spans="1:20" x14ac:dyDescent="0.3">
      <c r="A209" s="27">
        <v>1</v>
      </c>
      <c r="B209" s="63" t="s">
        <v>42</v>
      </c>
      <c r="C209" s="63" t="s">
        <v>86</v>
      </c>
      <c r="D209" s="63" t="s">
        <v>243</v>
      </c>
      <c r="E209" s="63" t="s">
        <v>245</v>
      </c>
      <c r="F209" s="63" t="s">
        <v>189</v>
      </c>
      <c r="G209" s="63" t="s">
        <v>81</v>
      </c>
      <c r="H209" s="63" t="s">
        <v>236</v>
      </c>
      <c r="I209" s="63" t="s">
        <v>245</v>
      </c>
      <c r="J209" s="63" t="s">
        <v>77</v>
      </c>
      <c r="K209" s="63" t="s">
        <v>236</v>
      </c>
      <c r="L209" s="63" t="s">
        <v>245</v>
      </c>
      <c r="M209" s="63" t="s">
        <v>74</v>
      </c>
      <c r="N209" s="63" t="s">
        <v>242</v>
      </c>
      <c r="O209" s="63" t="s">
        <v>245</v>
      </c>
      <c r="P209" s="63" t="s">
        <v>189</v>
      </c>
      <c r="Q209" s="63"/>
      <c r="R209" s="63"/>
      <c r="S209" s="63"/>
      <c r="T209" s="63"/>
    </row>
  </sheetData>
  <autoFilter ref="A1:T208" xr:uid="{69397A86-C998-4D3C-80E1-5CD92BA436F9}"/>
  <mergeCells count="11">
    <mergeCell ref="S205:S208"/>
    <mergeCell ref="S2:S16"/>
    <mergeCell ref="S17:S32"/>
    <mergeCell ref="S33:S42"/>
    <mergeCell ref="S43:S54"/>
    <mergeCell ref="S55:S72"/>
    <mergeCell ref="S112:S128"/>
    <mergeCell ref="S130:S142"/>
    <mergeCell ref="S195:S203"/>
    <mergeCell ref="S154:S163"/>
    <mergeCell ref="S174:S18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60DE-6461-45EB-B1C7-7CB90D1AFE78}">
  <sheetPr codeName="Sheet1"/>
  <dimension ref="A1:DG243"/>
  <sheetViews>
    <sheetView zoomScale="91" zoomScaleNormal="91" workbookViewId="0">
      <pane ySplit="1" topLeftCell="A182" activePane="bottomLeft" state="frozen"/>
      <selection pane="bottomLeft" activeCell="M182" sqref="M182"/>
    </sheetView>
  </sheetViews>
  <sheetFormatPr defaultRowHeight="14.4" x14ac:dyDescent="0.3"/>
  <cols>
    <col min="1" max="1" width="20.109375" style="2" bestFit="1" customWidth="1"/>
    <col min="2" max="2" width="28.77734375" style="2" bestFit="1" customWidth="1"/>
    <col min="3" max="3" width="30" style="2" bestFit="1" customWidth="1"/>
    <col min="4" max="4" width="30" style="2" customWidth="1"/>
    <col min="5" max="5" width="17.21875" bestFit="1" customWidth="1"/>
    <col min="6" max="6" width="19.21875" bestFit="1" customWidth="1"/>
    <col min="7" max="7" width="42.77734375" style="84" customWidth="1"/>
    <col min="8" max="8" width="76.21875" style="84" customWidth="1"/>
    <col min="9" max="9" width="32.33203125" style="8" customWidth="1"/>
    <col min="10" max="10" width="16.21875" customWidth="1"/>
    <col min="11" max="11" width="28.109375" bestFit="1" customWidth="1"/>
    <col min="12" max="12" width="27.21875" bestFit="1" customWidth="1"/>
    <col min="13" max="13" width="170.33203125" bestFit="1" customWidth="1"/>
  </cols>
  <sheetData>
    <row r="1" spans="1:13" ht="17.399999999999999" x14ac:dyDescent="0.3">
      <c r="A1" s="1" t="s">
        <v>25</v>
      </c>
      <c r="B1" s="1" t="s">
        <v>0</v>
      </c>
      <c r="C1" s="1" t="s">
        <v>1</v>
      </c>
      <c r="D1" s="1" t="s">
        <v>248</v>
      </c>
      <c r="E1" s="1" t="s">
        <v>51</v>
      </c>
      <c r="F1" s="1" t="s">
        <v>52</v>
      </c>
      <c r="G1" s="83" t="s">
        <v>10</v>
      </c>
      <c r="H1" s="83" t="s">
        <v>53</v>
      </c>
      <c r="I1" s="83" t="s">
        <v>64</v>
      </c>
      <c r="J1" s="67" t="s">
        <v>54</v>
      </c>
      <c r="K1" s="67" t="s">
        <v>55</v>
      </c>
      <c r="L1" s="67" t="s">
        <v>56</v>
      </c>
      <c r="M1" s="67" t="s">
        <v>65</v>
      </c>
    </row>
    <row r="2" spans="1:13" x14ac:dyDescent="0.3">
      <c r="A2" s="27" t="s">
        <v>86</v>
      </c>
      <c r="B2" s="14" t="s">
        <v>85</v>
      </c>
      <c r="C2" s="14" t="s">
        <v>83</v>
      </c>
      <c r="D2" s="14" t="s">
        <v>30</v>
      </c>
      <c r="E2" s="14" t="s">
        <v>247</v>
      </c>
      <c r="F2" s="14"/>
      <c r="G2" s="99" t="s">
        <v>249</v>
      </c>
      <c r="H2" s="14" t="str">
        <f>IF(E2="y",
 "CREATE TABLE " &amp; A2 &amp; "." &amp; B2 &amp; " (" &amp; C2 &amp; " " &amp; D2 &amp; " IDENTITY(1,1) PRIMARY KEY);",
 "ALTER TABLE " &amp; A2 &amp; "." &amp; B2 &amp; " ADD " &amp; C2 &amp; " " &amp; D2 &amp; ";")</f>
        <v>CREATE TABLE SC_RES.DimCustomer (CustomerSK bigint IDENTITY(1,1) PRIMARY KEY);</v>
      </c>
      <c r="I2" s="14"/>
    </row>
    <row r="3" spans="1:13" x14ac:dyDescent="0.3">
      <c r="A3" s="27" t="s">
        <v>86</v>
      </c>
      <c r="B3" s="14" t="s">
        <v>85</v>
      </c>
      <c r="C3" s="14" t="s">
        <v>82</v>
      </c>
      <c r="D3" s="14" t="s">
        <v>72</v>
      </c>
      <c r="E3" s="14"/>
      <c r="F3" s="14"/>
      <c r="G3" s="14" t="s">
        <v>250</v>
      </c>
      <c r="H3" s="14" t="str">
        <f t="shared" ref="H3:H66" si="0">IF(E3="y",
 "CREATE TABLE " &amp; A3 &amp; "." &amp; B3 &amp; " (" &amp; C3 &amp; " " &amp; D3 &amp; " IDENTITY(1,1) PRIMARY KEY);",
 "ALTER TABLE " &amp; A3 &amp; "." &amp; B3 &amp; " ADD " &amp; C3 &amp; " " &amp; D3 &amp; ";")</f>
        <v>ALTER TABLE SC_RES.DimCustomer ADD CustomerBK VARCHAR(50);</v>
      </c>
      <c r="I3" s="14"/>
    </row>
    <row r="4" spans="1:13" x14ac:dyDescent="0.3">
      <c r="A4" s="27" t="s">
        <v>86</v>
      </c>
      <c r="B4" s="14" t="s">
        <v>85</v>
      </c>
      <c r="C4" s="14" t="s">
        <v>70</v>
      </c>
      <c r="D4" s="14" t="s">
        <v>13</v>
      </c>
      <c r="E4" s="14"/>
      <c r="F4" s="14"/>
      <c r="G4" s="14"/>
      <c r="H4" s="14" t="str">
        <f t="shared" si="0"/>
        <v>ALTER TABLE SC_RES.DimCustomer ADD DOB Date;</v>
      </c>
      <c r="I4" s="14"/>
    </row>
    <row r="5" spans="1:13" x14ac:dyDescent="0.3">
      <c r="A5" s="27" t="s">
        <v>86</v>
      </c>
      <c r="B5" s="14" t="s">
        <v>85</v>
      </c>
      <c r="C5" s="15" t="s">
        <v>68</v>
      </c>
      <c r="D5" s="14" t="s">
        <v>72</v>
      </c>
      <c r="E5" s="14"/>
      <c r="F5" s="14"/>
      <c r="G5" s="14" t="s">
        <v>253</v>
      </c>
      <c r="H5" s="14" t="str">
        <f t="shared" si="0"/>
        <v>ALTER TABLE SC_RES.DimCustomer ADD ZIP VARCHAR(50);</v>
      </c>
      <c r="I5" s="14"/>
    </row>
    <row r="6" spans="1:13" x14ac:dyDescent="0.3">
      <c r="A6" s="27" t="s">
        <v>86</v>
      </c>
      <c r="B6" s="14" t="s">
        <v>85</v>
      </c>
      <c r="C6" s="15" t="s">
        <v>69</v>
      </c>
      <c r="D6" s="14" t="s">
        <v>72</v>
      </c>
      <c r="E6" s="14"/>
      <c r="F6" s="14"/>
      <c r="G6" s="99" t="s">
        <v>256</v>
      </c>
      <c r="H6" s="14" t="str">
        <f t="shared" si="0"/>
        <v>ALTER TABLE SC_RES.DimCustomer ADD Phone Number VARCHAR(50);</v>
      </c>
      <c r="I6" s="14"/>
    </row>
    <row r="7" spans="1:13" x14ac:dyDescent="0.3">
      <c r="A7" s="27" t="s">
        <v>86</v>
      </c>
      <c r="B7" s="14" t="s">
        <v>85</v>
      </c>
      <c r="C7" s="15" t="s">
        <v>8</v>
      </c>
      <c r="D7" s="14" t="s">
        <v>72</v>
      </c>
      <c r="E7" s="14"/>
      <c r="F7" s="14"/>
      <c r="G7" s="14" t="s">
        <v>254</v>
      </c>
      <c r="H7" s="14" t="str">
        <f t="shared" si="0"/>
        <v>ALTER TABLE SC_RES.DimCustomer ADD Address VARCHAR(50);</v>
      </c>
      <c r="I7" s="14"/>
    </row>
    <row r="8" spans="1:13" x14ac:dyDescent="0.3">
      <c r="A8" s="27" t="s">
        <v>86</v>
      </c>
      <c r="B8" s="14" t="s">
        <v>85</v>
      </c>
      <c r="C8" s="25" t="s">
        <v>11</v>
      </c>
      <c r="D8" s="14" t="s">
        <v>72</v>
      </c>
      <c r="E8" s="14"/>
      <c r="F8" s="14"/>
      <c r="G8" s="14" t="s">
        <v>255</v>
      </c>
      <c r="H8" s="14" t="str">
        <f t="shared" si="0"/>
        <v>ALTER TABLE SC_RES.DimCustomer ADD Name VARCHAR(50);</v>
      </c>
      <c r="I8" s="14"/>
    </row>
    <row r="9" spans="1:13" x14ac:dyDescent="0.3">
      <c r="A9" s="27" t="s">
        <v>86</v>
      </c>
      <c r="B9" s="14" t="s">
        <v>85</v>
      </c>
      <c r="C9" s="15" t="s">
        <v>34</v>
      </c>
      <c r="D9" s="14" t="s">
        <v>72</v>
      </c>
      <c r="E9" s="14"/>
      <c r="F9" s="14"/>
      <c r="G9" s="14" t="s">
        <v>258</v>
      </c>
      <c r="H9" s="14" t="str">
        <f t="shared" si="0"/>
        <v>ALTER TABLE SC_RES.DimCustomer ADD Email VARCHAR(50);</v>
      </c>
      <c r="I9" s="14"/>
    </row>
    <row r="10" spans="1:13" x14ac:dyDescent="0.3">
      <c r="A10" s="27" t="s">
        <v>86</v>
      </c>
      <c r="B10" s="14" t="s">
        <v>85</v>
      </c>
      <c r="C10" s="26" t="s">
        <v>71</v>
      </c>
      <c r="D10" s="14" t="s">
        <v>72</v>
      </c>
      <c r="E10" s="14"/>
      <c r="F10" s="14"/>
      <c r="G10" s="14" t="s">
        <v>259</v>
      </c>
      <c r="H10" s="14" t="str">
        <f t="shared" si="0"/>
        <v>ALTER TABLE SC_RES.DimCustomer ADD Gender VARCHAR(50);</v>
      </c>
      <c r="I10" s="14"/>
    </row>
    <row r="11" spans="1:13" ht="14.4" customHeight="1" x14ac:dyDescent="0.3">
      <c r="A11" s="27" t="s">
        <v>86</v>
      </c>
      <c r="B11" s="14" t="s">
        <v>85</v>
      </c>
      <c r="C11" s="25" t="s">
        <v>31</v>
      </c>
      <c r="D11" s="14" t="s">
        <v>84</v>
      </c>
      <c r="E11" s="14"/>
      <c r="F11" s="14"/>
      <c r="G11" s="14" t="s">
        <v>58</v>
      </c>
      <c r="H11" s="14" t="str">
        <f t="shared" si="0"/>
        <v>ALTER TABLE SC_RES.DimCustomer ADD HashCode NVARCHAR(1000);</v>
      </c>
      <c r="I11" s="14"/>
    </row>
    <row r="12" spans="1:13" x14ac:dyDescent="0.3">
      <c r="A12" s="27" t="s">
        <v>86</v>
      </c>
      <c r="B12" s="14" t="s">
        <v>85</v>
      </c>
      <c r="C12" s="25" t="s">
        <v>75</v>
      </c>
      <c r="D12" s="14" t="s">
        <v>62</v>
      </c>
      <c r="E12" s="14"/>
      <c r="F12" s="14"/>
      <c r="G12" s="14" t="s">
        <v>260</v>
      </c>
      <c r="H12" s="14" t="str">
        <f t="shared" si="0"/>
        <v>ALTER TABLE SC_RES.DimCustomer ADD LandingDate DATE;</v>
      </c>
      <c r="I12" s="14"/>
    </row>
    <row r="13" spans="1:13" x14ac:dyDescent="0.3">
      <c r="A13" s="27" t="s">
        <v>86</v>
      </c>
      <c r="B13" s="14" t="s">
        <v>85</v>
      </c>
      <c r="C13" s="25" t="s">
        <v>78</v>
      </c>
      <c r="D13" s="14" t="s">
        <v>62</v>
      </c>
      <c r="E13" s="14"/>
      <c r="F13" s="14"/>
      <c r="G13" s="14" t="s">
        <v>261</v>
      </c>
      <c r="H13" s="14" t="str">
        <f t="shared" si="0"/>
        <v>ALTER TABLE SC_RES.DimCustomer ADD StartDate DATE;</v>
      </c>
      <c r="I13" s="14"/>
    </row>
    <row r="14" spans="1:13" x14ac:dyDescent="0.3">
      <c r="A14" s="27" t="s">
        <v>86</v>
      </c>
      <c r="B14" s="14" t="s">
        <v>85</v>
      </c>
      <c r="C14" s="15" t="s">
        <v>20</v>
      </c>
      <c r="D14" s="14" t="s">
        <v>62</v>
      </c>
      <c r="E14" s="14"/>
      <c r="F14" s="14"/>
      <c r="G14" s="14" t="s">
        <v>262</v>
      </c>
      <c r="H14" s="14" t="str">
        <f t="shared" si="0"/>
        <v>ALTER TABLE SC_RES.DimCustomer ADD EndDate DATE;</v>
      </c>
      <c r="I14" s="14"/>
    </row>
    <row r="15" spans="1:13" x14ac:dyDescent="0.3">
      <c r="A15" s="27" t="s">
        <v>86</v>
      </c>
      <c r="B15" s="14" t="s">
        <v>85</v>
      </c>
      <c r="C15" s="15" t="s">
        <v>79</v>
      </c>
      <c r="D15" s="14" t="s">
        <v>44</v>
      </c>
      <c r="E15" s="14"/>
      <c r="F15" s="14"/>
      <c r="G15" s="14" t="s">
        <v>263</v>
      </c>
      <c r="H15" s="14" t="str">
        <f t="shared" si="0"/>
        <v>ALTER TABLE SC_RES.DimCustomer ADD RowStatus varchar(1);</v>
      </c>
      <c r="I15" s="14"/>
    </row>
    <row r="16" spans="1:13" x14ac:dyDescent="0.3">
      <c r="A16" s="27" t="s">
        <v>86</v>
      </c>
      <c r="B16" s="14" t="s">
        <v>85</v>
      </c>
      <c r="C16" s="15" t="s">
        <v>80</v>
      </c>
      <c r="D16" s="14" t="s">
        <v>44</v>
      </c>
      <c r="E16" s="14"/>
      <c r="F16" s="14"/>
      <c r="G16" s="14" t="s">
        <v>264</v>
      </c>
      <c r="H16" s="14" t="str">
        <f t="shared" si="0"/>
        <v>ALTER TABLE SC_RES.DimCustomer ADD IsLatest varchar(1);</v>
      </c>
      <c r="I16" s="14"/>
    </row>
    <row r="17" spans="1:9" x14ac:dyDescent="0.3">
      <c r="A17" s="10" t="s">
        <v>26</v>
      </c>
      <c r="B17" s="10" t="s">
        <v>94</v>
      </c>
      <c r="C17" s="10" t="s">
        <v>93</v>
      </c>
      <c r="D17" s="3" t="s">
        <v>30</v>
      </c>
      <c r="E17" s="3" t="s">
        <v>247</v>
      </c>
      <c r="F17" s="13"/>
      <c r="G17" s="13" t="s">
        <v>57</v>
      </c>
      <c r="H17" s="3" t="str">
        <f t="shared" si="0"/>
        <v>CREATE TABLE Shared.DimBranch (BranchSK bigint IDENTITY(1,1) PRIMARY KEY);</v>
      </c>
      <c r="I17" s="13"/>
    </row>
    <row r="18" spans="1:9" x14ac:dyDescent="0.3">
      <c r="A18" s="10" t="s">
        <v>26</v>
      </c>
      <c r="B18" s="10" t="s">
        <v>94</v>
      </c>
      <c r="C18" s="10" t="s">
        <v>92</v>
      </c>
      <c r="D18" s="3" t="s">
        <v>72</v>
      </c>
      <c r="E18" s="13"/>
      <c r="F18" s="13"/>
      <c r="G18" s="13" t="s">
        <v>251</v>
      </c>
      <c r="H18" s="3" t="str">
        <f t="shared" si="0"/>
        <v>ALTER TABLE Shared.DimBranch ADD BranchBK VARCHAR(50);</v>
      </c>
      <c r="I18" s="13"/>
    </row>
    <row r="19" spans="1:9" x14ac:dyDescent="0.3">
      <c r="A19" s="10" t="s">
        <v>26</v>
      </c>
      <c r="B19" s="10" t="s">
        <v>94</v>
      </c>
      <c r="C19" s="3" t="s">
        <v>11</v>
      </c>
      <c r="D19" s="3" t="s">
        <v>72</v>
      </c>
      <c r="E19" s="13"/>
      <c r="F19" s="13"/>
      <c r="G19" s="13" t="s">
        <v>265</v>
      </c>
      <c r="H19" s="3" t="str">
        <f t="shared" si="0"/>
        <v>ALTER TABLE Shared.DimBranch ADD Name VARCHAR(50);</v>
      </c>
      <c r="I19" s="13"/>
    </row>
    <row r="20" spans="1:9" x14ac:dyDescent="0.3">
      <c r="A20" s="10" t="s">
        <v>26</v>
      </c>
      <c r="B20" s="10" t="s">
        <v>94</v>
      </c>
      <c r="C20" s="3" t="s">
        <v>34</v>
      </c>
      <c r="D20" s="3" t="s">
        <v>72</v>
      </c>
      <c r="E20" s="13"/>
      <c r="F20" s="13"/>
      <c r="G20" s="13" t="s">
        <v>257</v>
      </c>
      <c r="H20" s="3" t="str">
        <f t="shared" si="0"/>
        <v>ALTER TABLE Shared.DimBranch ADD Email VARCHAR(50);</v>
      </c>
      <c r="I20" s="13"/>
    </row>
    <row r="21" spans="1:9" x14ac:dyDescent="0.3">
      <c r="A21" s="10" t="s">
        <v>26</v>
      </c>
      <c r="B21" s="10" t="s">
        <v>94</v>
      </c>
      <c r="C21" s="3" t="s">
        <v>88</v>
      </c>
      <c r="D21" s="3" t="s">
        <v>72</v>
      </c>
      <c r="E21" s="13"/>
      <c r="F21" s="13"/>
      <c r="G21" s="13" t="s">
        <v>266</v>
      </c>
      <c r="H21" s="3" t="str">
        <f t="shared" si="0"/>
        <v>ALTER TABLE Shared.DimBranch ADD MangerName VARCHAR(50);</v>
      </c>
      <c r="I21" s="13"/>
    </row>
    <row r="22" spans="1:9" x14ac:dyDescent="0.3">
      <c r="A22" s="10" t="s">
        <v>26</v>
      </c>
      <c r="B22" s="10" t="s">
        <v>94</v>
      </c>
      <c r="C22" s="3" t="s">
        <v>8</v>
      </c>
      <c r="D22" s="3" t="s">
        <v>72</v>
      </c>
      <c r="E22" s="13"/>
      <c r="F22" s="13"/>
      <c r="G22" s="13" t="s">
        <v>267</v>
      </c>
      <c r="H22" s="3" t="str">
        <f t="shared" si="0"/>
        <v>ALTER TABLE Shared.DimBranch ADD Address VARCHAR(50);</v>
      </c>
      <c r="I22" s="13"/>
    </row>
    <row r="23" spans="1:9" x14ac:dyDescent="0.3">
      <c r="A23" s="10" t="s">
        <v>26</v>
      </c>
      <c r="B23" s="10" t="s">
        <v>94</v>
      </c>
      <c r="C23" s="3" t="s">
        <v>9</v>
      </c>
      <c r="D23" s="3" t="s">
        <v>72</v>
      </c>
      <c r="E23" s="13"/>
      <c r="F23" s="13"/>
      <c r="G23" s="13" t="s">
        <v>268</v>
      </c>
      <c r="H23" s="3" t="str">
        <f t="shared" si="0"/>
        <v>ALTER TABLE Shared.DimBranch ADD Status VARCHAR(50);</v>
      </c>
      <c r="I23" s="13"/>
    </row>
    <row r="24" spans="1:9" x14ac:dyDescent="0.3">
      <c r="A24" s="10" t="s">
        <v>26</v>
      </c>
      <c r="B24" s="10" t="s">
        <v>94</v>
      </c>
      <c r="C24" s="3" t="s">
        <v>89</v>
      </c>
      <c r="D24" s="3" t="s">
        <v>72</v>
      </c>
      <c r="E24" s="13"/>
      <c r="F24" s="13"/>
      <c r="G24" s="13" t="s">
        <v>269</v>
      </c>
      <c r="H24" s="3" t="str">
        <f t="shared" si="0"/>
        <v>ALTER TABLE Shared.DimBranch ADD PostalCode VARCHAR(50);</v>
      </c>
      <c r="I24" s="13"/>
    </row>
    <row r="25" spans="1:9" x14ac:dyDescent="0.3">
      <c r="A25" s="10" t="s">
        <v>26</v>
      </c>
      <c r="B25" s="10" t="s">
        <v>94</v>
      </c>
      <c r="C25" s="3" t="s">
        <v>36</v>
      </c>
      <c r="D25" s="3" t="s">
        <v>72</v>
      </c>
      <c r="E25" s="13"/>
      <c r="F25" s="13"/>
      <c r="G25" s="13" t="s">
        <v>270</v>
      </c>
      <c r="H25" s="3" t="str">
        <f t="shared" si="0"/>
        <v>ALTER TABLE Shared.DimBranch ADD Country VARCHAR(50);</v>
      </c>
      <c r="I25" s="13"/>
    </row>
    <row r="26" spans="1:9" x14ac:dyDescent="0.3">
      <c r="A26" s="10" t="s">
        <v>26</v>
      </c>
      <c r="B26" s="10" t="s">
        <v>94</v>
      </c>
      <c r="C26" s="3" t="s">
        <v>21</v>
      </c>
      <c r="D26" s="3" t="s">
        <v>72</v>
      </c>
      <c r="E26" s="13"/>
      <c r="F26" s="13"/>
      <c r="G26" s="13" t="s">
        <v>271</v>
      </c>
      <c r="H26" s="3" t="str">
        <f t="shared" si="0"/>
        <v>ALTER TABLE Shared.DimBranch ADD City VARCHAR(50);</v>
      </c>
      <c r="I26" s="13"/>
    </row>
    <row r="27" spans="1:9" x14ac:dyDescent="0.3">
      <c r="A27" s="10" t="s">
        <v>26</v>
      </c>
      <c r="B27" s="10" t="s">
        <v>94</v>
      </c>
      <c r="C27" s="3" t="s">
        <v>31</v>
      </c>
      <c r="D27" s="3" t="s">
        <v>84</v>
      </c>
      <c r="E27" s="13"/>
      <c r="F27" s="13"/>
      <c r="G27" s="13" t="s">
        <v>58</v>
      </c>
      <c r="H27" s="3" t="str">
        <f t="shared" si="0"/>
        <v>ALTER TABLE Shared.DimBranch ADD HashCode NVARCHAR(1000);</v>
      </c>
      <c r="I27" s="13"/>
    </row>
    <row r="28" spans="1:9" x14ac:dyDescent="0.3">
      <c r="A28" s="10" t="s">
        <v>26</v>
      </c>
      <c r="B28" s="10" t="s">
        <v>94</v>
      </c>
      <c r="C28" s="3" t="s">
        <v>75</v>
      </c>
      <c r="D28" s="3" t="s">
        <v>62</v>
      </c>
      <c r="E28" s="13"/>
      <c r="F28" s="13"/>
      <c r="G28" s="13" t="s">
        <v>260</v>
      </c>
      <c r="H28" s="3" t="str">
        <f t="shared" si="0"/>
        <v>ALTER TABLE Shared.DimBranch ADD LandingDate DATE;</v>
      </c>
      <c r="I28" s="13"/>
    </row>
    <row r="29" spans="1:9" x14ac:dyDescent="0.3">
      <c r="A29" s="10" t="s">
        <v>26</v>
      </c>
      <c r="B29" s="10" t="s">
        <v>94</v>
      </c>
      <c r="C29" s="3" t="s">
        <v>78</v>
      </c>
      <c r="D29" s="3" t="s">
        <v>62</v>
      </c>
      <c r="E29" s="13"/>
      <c r="F29" s="13"/>
      <c r="G29" s="13" t="s">
        <v>272</v>
      </c>
      <c r="H29" s="3" t="str">
        <f t="shared" si="0"/>
        <v>ALTER TABLE Shared.DimBranch ADD StartDate DATE;</v>
      </c>
      <c r="I29" s="13"/>
    </row>
    <row r="30" spans="1:9" x14ac:dyDescent="0.3">
      <c r="A30" s="10" t="s">
        <v>26</v>
      </c>
      <c r="B30" s="10" t="s">
        <v>94</v>
      </c>
      <c r="C30" s="3" t="s">
        <v>20</v>
      </c>
      <c r="D30" s="3" t="s">
        <v>62</v>
      </c>
      <c r="E30" s="13"/>
      <c r="F30" s="13"/>
      <c r="G30" s="13" t="s">
        <v>262</v>
      </c>
      <c r="H30" s="3" t="str">
        <f t="shared" si="0"/>
        <v>ALTER TABLE Shared.DimBranch ADD EndDate DATE;</v>
      </c>
      <c r="I30" s="13"/>
    </row>
    <row r="31" spans="1:9" x14ac:dyDescent="0.3">
      <c r="A31" s="10" t="s">
        <v>26</v>
      </c>
      <c r="B31" s="10" t="s">
        <v>94</v>
      </c>
      <c r="C31" s="3" t="s">
        <v>79</v>
      </c>
      <c r="D31" s="3" t="s">
        <v>44</v>
      </c>
      <c r="E31" s="13"/>
      <c r="F31" s="13"/>
      <c r="G31" s="13" t="s">
        <v>263</v>
      </c>
      <c r="H31" s="3" t="str">
        <f t="shared" si="0"/>
        <v>ALTER TABLE Shared.DimBranch ADD RowStatus varchar(1);</v>
      </c>
      <c r="I31" s="13"/>
    </row>
    <row r="32" spans="1:9" x14ac:dyDescent="0.3">
      <c r="A32" s="10" t="s">
        <v>26</v>
      </c>
      <c r="B32" s="10" t="s">
        <v>94</v>
      </c>
      <c r="C32" s="3" t="s">
        <v>80</v>
      </c>
      <c r="D32" s="3" t="s">
        <v>44</v>
      </c>
      <c r="E32" s="13"/>
      <c r="F32" s="13"/>
      <c r="G32" s="13" t="s">
        <v>273</v>
      </c>
      <c r="H32" s="3" t="str">
        <f t="shared" si="0"/>
        <v>ALTER TABLE Shared.DimBranch ADD IsLatest varchar(1);</v>
      </c>
      <c r="I32" s="13"/>
    </row>
    <row r="33" spans="1:9" x14ac:dyDescent="0.3">
      <c r="A33" s="31" t="s">
        <v>86</v>
      </c>
      <c r="B33" s="16" t="s">
        <v>100</v>
      </c>
      <c r="C33" s="16" t="s">
        <v>37</v>
      </c>
      <c r="D33" s="16" t="s">
        <v>30</v>
      </c>
      <c r="E33" s="16" t="s">
        <v>247</v>
      </c>
      <c r="F33" s="16"/>
      <c r="G33" s="16" t="s">
        <v>57</v>
      </c>
      <c r="H33" s="16" t="str">
        <f t="shared" si="0"/>
        <v>CREATE TABLE SC_RES.DimPayment (PaymentSK bigint IDENTITY(1,1) PRIMARY KEY);</v>
      </c>
      <c r="I33" s="16"/>
    </row>
    <row r="34" spans="1:9" x14ac:dyDescent="0.3">
      <c r="A34" s="31" t="s">
        <v>86</v>
      </c>
      <c r="B34" s="16" t="s">
        <v>100</v>
      </c>
      <c r="C34" s="17" t="s">
        <v>101</v>
      </c>
      <c r="D34" s="17" t="s">
        <v>72</v>
      </c>
      <c r="E34" s="16"/>
      <c r="F34" s="16"/>
      <c r="G34" s="16" t="s">
        <v>252</v>
      </c>
      <c r="H34" s="16" t="str">
        <f t="shared" si="0"/>
        <v>ALTER TABLE SC_RES.DimPayment ADD PaymentBK VARCHAR(50);</v>
      </c>
      <c r="I34" s="16"/>
    </row>
    <row r="35" spans="1:9" x14ac:dyDescent="0.3">
      <c r="A35" s="31" t="s">
        <v>86</v>
      </c>
      <c r="B35" s="16" t="s">
        <v>100</v>
      </c>
      <c r="C35" s="17" t="s">
        <v>96</v>
      </c>
      <c r="D35" s="17" t="s">
        <v>72</v>
      </c>
      <c r="E35" s="16"/>
      <c r="F35" s="16"/>
      <c r="G35" s="16" t="s">
        <v>274</v>
      </c>
      <c r="H35" s="16" t="str">
        <f t="shared" si="0"/>
        <v>ALTER TABLE SC_RES.DimPayment ADD status VARCHAR(50);</v>
      </c>
      <c r="I35" s="16"/>
    </row>
    <row r="36" spans="1:9" x14ac:dyDescent="0.3">
      <c r="A36" s="31" t="s">
        <v>86</v>
      </c>
      <c r="B36" s="16" t="s">
        <v>100</v>
      </c>
      <c r="C36" s="17" t="s">
        <v>97</v>
      </c>
      <c r="D36" s="17" t="s">
        <v>72</v>
      </c>
      <c r="E36" s="16"/>
      <c r="F36" s="16"/>
      <c r="G36" s="16" t="s">
        <v>275</v>
      </c>
      <c r="H36" s="16" t="str">
        <f t="shared" si="0"/>
        <v>ALTER TABLE SC_RES.DimPayment ADD PaymentMethod VARCHAR(50);</v>
      </c>
      <c r="I36" s="16"/>
    </row>
    <row r="37" spans="1:9" x14ac:dyDescent="0.3">
      <c r="A37" s="31" t="s">
        <v>86</v>
      </c>
      <c r="B37" s="16" t="s">
        <v>100</v>
      </c>
      <c r="C37" s="17" t="s">
        <v>31</v>
      </c>
      <c r="D37" s="16" t="s">
        <v>84</v>
      </c>
      <c r="E37" s="16"/>
      <c r="F37" s="16"/>
      <c r="G37" s="16" t="s">
        <v>58</v>
      </c>
      <c r="H37" s="16" t="str">
        <f t="shared" si="0"/>
        <v>ALTER TABLE SC_RES.DimPayment ADD HashCode NVARCHAR(1000);</v>
      </c>
      <c r="I37" s="16"/>
    </row>
    <row r="38" spans="1:9" x14ac:dyDescent="0.3">
      <c r="A38" s="31" t="s">
        <v>86</v>
      </c>
      <c r="B38" s="16" t="s">
        <v>100</v>
      </c>
      <c r="C38" s="16" t="s">
        <v>75</v>
      </c>
      <c r="D38" s="16" t="s">
        <v>62</v>
      </c>
      <c r="E38" s="16"/>
      <c r="F38" s="16"/>
      <c r="G38" s="16" t="s">
        <v>260</v>
      </c>
      <c r="H38" s="16" t="str">
        <f t="shared" si="0"/>
        <v>ALTER TABLE SC_RES.DimPayment ADD LandingDate DATE;</v>
      </c>
      <c r="I38" s="16"/>
    </row>
    <row r="39" spans="1:9" x14ac:dyDescent="0.3">
      <c r="A39" s="31" t="s">
        <v>86</v>
      </c>
      <c r="B39" s="16" t="s">
        <v>100</v>
      </c>
      <c r="C39" s="16" t="s">
        <v>78</v>
      </c>
      <c r="D39" s="16" t="s">
        <v>62</v>
      </c>
      <c r="E39" s="16"/>
      <c r="F39" s="16"/>
      <c r="G39" s="16" t="s">
        <v>272</v>
      </c>
      <c r="H39" s="16" t="str">
        <f t="shared" si="0"/>
        <v>ALTER TABLE SC_RES.DimPayment ADD StartDate DATE;</v>
      </c>
      <c r="I39" s="16"/>
    </row>
    <row r="40" spans="1:9" x14ac:dyDescent="0.3">
      <c r="A40" s="31" t="s">
        <v>86</v>
      </c>
      <c r="B40" s="16" t="s">
        <v>100</v>
      </c>
      <c r="C40" s="16" t="s">
        <v>20</v>
      </c>
      <c r="D40" s="16" t="s">
        <v>62</v>
      </c>
      <c r="E40" s="16"/>
      <c r="F40" s="16"/>
      <c r="G40" s="16" t="s">
        <v>262</v>
      </c>
      <c r="H40" s="16" t="str">
        <f t="shared" si="0"/>
        <v>ALTER TABLE SC_RES.DimPayment ADD EndDate DATE;</v>
      </c>
      <c r="I40" s="16"/>
    </row>
    <row r="41" spans="1:9" x14ac:dyDescent="0.3">
      <c r="A41" s="31" t="s">
        <v>86</v>
      </c>
      <c r="B41" s="16" t="s">
        <v>100</v>
      </c>
      <c r="C41" s="16" t="s">
        <v>79</v>
      </c>
      <c r="D41" s="16" t="s">
        <v>44</v>
      </c>
      <c r="E41" s="16"/>
      <c r="F41" s="16"/>
      <c r="G41" s="16" t="s">
        <v>263</v>
      </c>
      <c r="H41" s="16" t="str">
        <f t="shared" si="0"/>
        <v>ALTER TABLE SC_RES.DimPayment ADD RowStatus varchar(1);</v>
      </c>
      <c r="I41" s="16"/>
    </row>
    <row r="42" spans="1:9" x14ac:dyDescent="0.3">
      <c r="A42" s="31" t="s">
        <v>86</v>
      </c>
      <c r="B42" s="16" t="s">
        <v>100</v>
      </c>
      <c r="C42" s="16" t="s">
        <v>80</v>
      </c>
      <c r="D42" s="16" t="s">
        <v>44</v>
      </c>
      <c r="E42" s="16"/>
      <c r="F42" s="16"/>
      <c r="G42" s="16" t="s">
        <v>273</v>
      </c>
      <c r="H42" s="16" t="str">
        <f t="shared" si="0"/>
        <v>ALTER TABLE SC_RES.DimPayment ADD IsLatest varchar(1);</v>
      </c>
      <c r="I42" s="16"/>
    </row>
    <row r="43" spans="1:9" x14ac:dyDescent="0.3">
      <c r="A43" s="32" t="s">
        <v>26</v>
      </c>
      <c r="B43" s="19" t="s">
        <v>112</v>
      </c>
      <c r="C43" s="19" t="s">
        <v>110</v>
      </c>
      <c r="D43" s="19" t="s">
        <v>28</v>
      </c>
      <c r="E43" s="19" t="s">
        <v>247</v>
      </c>
      <c r="F43" s="19"/>
      <c r="G43" s="19" t="s">
        <v>57</v>
      </c>
      <c r="H43" s="19" t="str">
        <f t="shared" si="0"/>
        <v>CREATE TABLE Shared.DimProduct (ProductSK BigInt IDENTITY(1,1) PRIMARY KEY);</v>
      </c>
      <c r="I43" s="19"/>
    </row>
    <row r="44" spans="1:9" x14ac:dyDescent="0.3">
      <c r="A44" s="32" t="s">
        <v>26</v>
      </c>
      <c r="B44" s="19" t="s">
        <v>112</v>
      </c>
      <c r="C44" s="19" t="s">
        <v>111</v>
      </c>
      <c r="D44" s="19" t="s">
        <v>72</v>
      </c>
      <c r="E44" s="19"/>
      <c r="F44" s="19"/>
      <c r="G44" s="19" t="s">
        <v>276</v>
      </c>
      <c r="H44" s="19" t="str">
        <f t="shared" si="0"/>
        <v>ALTER TABLE Shared.DimProduct ADD ProductBK VARCHAR(50);</v>
      </c>
      <c r="I44" s="19"/>
    </row>
    <row r="45" spans="1:9" x14ac:dyDescent="0.3">
      <c r="A45" s="32" t="s">
        <v>26</v>
      </c>
      <c r="B45" s="19" t="s">
        <v>112</v>
      </c>
      <c r="C45" s="19" t="s">
        <v>103</v>
      </c>
      <c r="D45" s="19" t="s">
        <v>72</v>
      </c>
      <c r="E45" s="19"/>
      <c r="F45" s="19"/>
      <c r="G45" s="19" t="s">
        <v>277</v>
      </c>
      <c r="H45" s="19" t="str">
        <f t="shared" si="0"/>
        <v>ALTER TABLE Shared.DimProduct ADD name VARCHAR(50);</v>
      </c>
      <c r="I45" s="19"/>
    </row>
    <row r="46" spans="1:9" x14ac:dyDescent="0.3">
      <c r="A46" s="32" t="s">
        <v>26</v>
      </c>
      <c r="B46" s="19" t="s">
        <v>112</v>
      </c>
      <c r="C46" s="19" t="s">
        <v>104</v>
      </c>
      <c r="D46" s="19" t="s">
        <v>72</v>
      </c>
      <c r="E46" s="19"/>
      <c r="F46" s="19"/>
      <c r="G46" s="19" t="s">
        <v>278</v>
      </c>
      <c r="H46" s="19" t="str">
        <f t="shared" si="0"/>
        <v>ALTER TABLE Shared.DimProduct ADD category VARCHAR(50);</v>
      </c>
      <c r="I46" s="19"/>
    </row>
    <row r="47" spans="1:9" x14ac:dyDescent="0.3">
      <c r="A47" s="32" t="s">
        <v>26</v>
      </c>
      <c r="B47" s="19" t="s">
        <v>112</v>
      </c>
      <c r="C47" s="19" t="s">
        <v>105</v>
      </c>
      <c r="D47" s="19" t="s">
        <v>107</v>
      </c>
      <c r="E47" s="19"/>
      <c r="F47" s="19"/>
      <c r="G47" s="19" t="s">
        <v>279</v>
      </c>
      <c r="H47" s="19" t="str">
        <f t="shared" si="0"/>
        <v>ALTER TABLE Shared.DimProduct ADD is_available BIT;</v>
      </c>
      <c r="I47" s="19"/>
    </row>
    <row r="48" spans="1:9" x14ac:dyDescent="0.3">
      <c r="A48" s="32" t="s">
        <v>26</v>
      </c>
      <c r="B48" s="19" t="s">
        <v>112</v>
      </c>
      <c r="C48" s="19" t="s">
        <v>10</v>
      </c>
      <c r="D48" s="19" t="s">
        <v>72</v>
      </c>
      <c r="E48" s="19"/>
      <c r="F48" s="19"/>
      <c r="G48" s="19" t="s">
        <v>280</v>
      </c>
      <c r="H48" s="19" t="str">
        <f t="shared" si="0"/>
        <v>ALTER TABLE Shared.DimProduct ADD Description VARCHAR(50);</v>
      </c>
      <c r="I48" s="19"/>
    </row>
    <row r="49" spans="1:9" x14ac:dyDescent="0.3">
      <c r="A49" s="32" t="s">
        <v>26</v>
      </c>
      <c r="B49" s="19" t="s">
        <v>112</v>
      </c>
      <c r="C49" s="19" t="s">
        <v>31</v>
      </c>
      <c r="D49" s="19" t="s">
        <v>84</v>
      </c>
      <c r="E49" s="19"/>
      <c r="F49" s="19"/>
      <c r="G49" s="19" t="s">
        <v>58</v>
      </c>
      <c r="H49" s="19" t="str">
        <f t="shared" si="0"/>
        <v>ALTER TABLE Shared.DimProduct ADD HashCode NVARCHAR(1000);</v>
      </c>
      <c r="I49" s="19"/>
    </row>
    <row r="50" spans="1:9" x14ac:dyDescent="0.3">
      <c r="A50" s="32" t="s">
        <v>26</v>
      </c>
      <c r="B50" s="19" t="s">
        <v>112</v>
      </c>
      <c r="C50" s="19" t="s">
        <v>75</v>
      </c>
      <c r="D50" s="19" t="s">
        <v>62</v>
      </c>
      <c r="E50" s="19"/>
      <c r="F50" s="19"/>
      <c r="G50" s="19" t="s">
        <v>260</v>
      </c>
      <c r="H50" s="19" t="str">
        <f t="shared" si="0"/>
        <v>ALTER TABLE Shared.DimProduct ADD LandingDate DATE;</v>
      </c>
      <c r="I50" s="19"/>
    </row>
    <row r="51" spans="1:9" x14ac:dyDescent="0.3">
      <c r="A51" s="32" t="s">
        <v>26</v>
      </c>
      <c r="B51" s="19" t="s">
        <v>112</v>
      </c>
      <c r="C51" s="19" t="s">
        <v>78</v>
      </c>
      <c r="D51" s="19" t="s">
        <v>62</v>
      </c>
      <c r="E51" s="19"/>
      <c r="F51" s="19"/>
      <c r="G51" s="19" t="s">
        <v>272</v>
      </c>
      <c r="H51" s="19" t="str">
        <f t="shared" si="0"/>
        <v>ALTER TABLE Shared.DimProduct ADD StartDate DATE;</v>
      </c>
      <c r="I51" s="19"/>
    </row>
    <row r="52" spans="1:9" x14ac:dyDescent="0.3">
      <c r="A52" s="32" t="s">
        <v>26</v>
      </c>
      <c r="B52" s="19" t="s">
        <v>112</v>
      </c>
      <c r="C52" s="19" t="s">
        <v>20</v>
      </c>
      <c r="D52" s="19" t="s">
        <v>62</v>
      </c>
      <c r="E52" s="19"/>
      <c r="F52" s="19"/>
      <c r="G52" s="19" t="s">
        <v>262</v>
      </c>
      <c r="H52" s="19" t="str">
        <f t="shared" si="0"/>
        <v>ALTER TABLE Shared.DimProduct ADD EndDate DATE;</v>
      </c>
      <c r="I52" s="19"/>
    </row>
    <row r="53" spans="1:9" x14ac:dyDescent="0.3">
      <c r="A53" s="32" t="s">
        <v>26</v>
      </c>
      <c r="B53" s="19" t="s">
        <v>112</v>
      </c>
      <c r="C53" s="19" t="s">
        <v>79</v>
      </c>
      <c r="D53" s="19" t="s">
        <v>44</v>
      </c>
      <c r="E53" s="19"/>
      <c r="F53" s="19"/>
      <c r="G53" s="19" t="s">
        <v>263</v>
      </c>
      <c r="H53" s="19" t="str">
        <f t="shared" si="0"/>
        <v>ALTER TABLE Shared.DimProduct ADD RowStatus varchar(1);</v>
      </c>
      <c r="I53" s="19"/>
    </row>
    <row r="54" spans="1:9" x14ac:dyDescent="0.3">
      <c r="A54" s="32" t="s">
        <v>86</v>
      </c>
      <c r="B54" s="19" t="s">
        <v>112</v>
      </c>
      <c r="C54" s="19" t="s">
        <v>80</v>
      </c>
      <c r="D54" s="19" t="s">
        <v>44</v>
      </c>
      <c r="E54" s="19"/>
      <c r="F54" s="19"/>
      <c r="G54" s="19" t="s">
        <v>273</v>
      </c>
      <c r="H54" s="19" t="str">
        <f t="shared" si="0"/>
        <v>ALTER TABLE SC_RES.DimProduct ADD IsLatest varchar(1);</v>
      </c>
      <c r="I54" s="19"/>
    </row>
    <row r="55" spans="1:9" x14ac:dyDescent="0.3">
      <c r="A55" s="37" t="s">
        <v>86</v>
      </c>
      <c r="B55" s="22" t="s">
        <v>119</v>
      </c>
      <c r="C55" s="22" t="s">
        <v>117</v>
      </c>
      <c r="D55" s="22" t="s">
        <v>28</v>
      </c>
      <c r="E55" s="22" t="s">
        <v>247</v>
      </c>
      <c r="F55" s="22"/>
      <c r="G55" s="22" t="s">
        <v>57</v>
      </c>
      <c r="H55" s="22" t="str">
        <f t="shared" si="0"/>
        <v>CREATE TABLE SC_RES.DimOrder (OrderSK BigInt IDENTITY(1,1) PRIMARY KEY);</v>
      </c>
      <c r="I55" s="22"/>
    </row>
    <row r="56" spans="1:9" x14ac:dyDescent="0.3">
      <c r="A56" s="37" t="s">
        <v>86</v>
      </c>
      <c r="B56" s="22" t="s">
        <v>119</v>
      </c>
      <c r="C56" s="22" t="s">
        <v>118</v>
      </c>
      <c r="D56" s="22" t="s">
        <v>72</v>
      </c>
      <c r="E56" s="22"/>
      <c r="F56" s="22"/>
      <c r="G56" s="22" t="s">
        <v>281</v>
      </c>
      <c r="H56" s="22" t="str">
        <f t="shared" si="0"/>
        <v>ALTER TABLE SC_RES.DimOrder ADD OrderBK VARCHAR(50);</v>
      </c>
      <c r="I56" s="22"/>
    </row>
    <row r="57" spans="1:9" x14ac:dyDescent="0.3">
      <c r="A57" s="37" t="s">
        <v>86</v>
      </c>
      <c r="B57" s="22" t="s">
        <v>119</v>
      </c>
      <c r="C57" s="22" t="s">
        <v>114</v>
      </c>
      <c r="D57" s="22" t="s">
        <v>72</v>
      </c>
      <c r="E57" s="22"/>
      <c r="F57" s="22"/>
      <c r="G57" s="22" t="s">
        <v>282</v>
      </c>
      <c r="H57" s="22" t="str">
        <f t="shared" si="0"/>
        <v>ALTER TABLE SC_RES.DimOrder ADD Ordertype VARCHAR(50);</v>
      </c>
      <c r="I57" s="22"/>
    </row>
    <row r="58" spans="1:9" x14ac:dyDescent="0.3">
      <c r="A58" s="37" t="s">
        <v>86</v>
      </c>
      <c r="B58" s="22" t="s">
        <v>119</v>
      </c>
      <c r="C58" s="22" t="s">
        <v>31</v>
      </c>
      <c r="D58" s="22" t="s">
        <v>84</v>
      </c>
      <c r="E58" s="22"/>
      <c r="F58" s="22"/>
      <c r="G58" s="22" t="s">
        <v>58</v>
      </c>
      <c r="H58" s="22" t="str">
        <f t="shared" si="0"/>
        <v>ALTER TABLE SC_RES.DimOrder ADD HashCode NVARCHAR(1000);</v>
      </c>
      <c r="I58" s="22"/>
    </row>
    <row r="59" spans="1:9" x14ac:dyDescent="0.3">
      <c r="A59" s="37" t="s">
        <v>86</v>
      </c>
      <c r="B59" s="22" t="s">
        <v>119</v>
      </c>
      <c r="C59" s="22" t="s">
        <v>75</v>
      </c>
      <c r="D59" s="22" t="s">
        <v>62</v>
      </c>
      <c r="E59" s="22"/>
      <c r="F59" s="22"/>
      <c r="G59" s="22" t="s">
        <v>260</v>
      </c>
      <c r="H59" s="22" t="str">
        <f t="shared" si="0"/>
        <v>ALTER TABLE SC_RES.DimOrder ADD LandingDate DATE;</v>
      </c>
      <c r="I59" s="22"/>
    </row>
    <row r="60" spans="1:9" x14ac:dyDescent="0.3">
      <c r="A60" s="37" t="s">
        <v>86</v>
      </c>
      <c r="B60" s="22" t="s">
        <v>119</v>
      </c>
      <c r="C60" s="22" t="s">
        <v>78</v>
      </c>
      <c r="D60" s="22" t="s">
        <v>62</v>
      </c>
      <c r="E60" s="22"/>
      <c r="F60" s="22"/>
      <c r="G60" s="22" t="s">
        <v>272</v>
      </c>
      <c r="H60" s="22" t="str">
        <f t="shared" si="0"/>
        <v>ALTER TABLE SC_RES.DimOrder ADD StartDate DATE;</v>
      </c>
      <c r="I60" s="22"/>
    </row>
    <row r="61" spans="1:9" x14ac:dyDescent="0.3">
      <c r="A61" s="37" t="s">
        <v>86</v>
      </c>
      <c r="B61" s="22" t="s">
        <v>119</v>
      </c>
      <c r="C61" s="22" t="s">
        <v>20</v>
      </c>
      <c r="D61" s="22" t="s">
        <v>62</v>
      </c>
      <c r="E61" s="22"/>
      <c r="F61" s="22"/>
      <c r="G61" s="22" t="s">
        <v>262</v>
      </c>
      <c r="H61" s="22" t="str">
        <f t="shared" si="0"/>
        <v>ALTER TABLE SC_RES.DimOrder ADD EndDate DATE;</v>
      </c>
      <c r="I61" s="22"/>
    </row>
    <row r="62" spans="1:9" x14ac:dyDescent="0.3">
      <c r="A62" s="37" t="s">
        <v>86</v>
      </c>
      <c r="B62" s="22" t="s">
        <v>119</v>
      </c>
      <c r="C62" s="22" t="s">
        <v>79</v>
      </c>
      <c r="D62" s="22" t="s">
        <v>44</v>
      </c>
      <c r="E62" s="22"/>
      <c r="F62" s="22"/>
      <c r="G62" s="22" t="s">
        <v>263</v>
      </c>
      <c r="H62" s="22" t="str">
        <f t="shared" si="0"/>
        <v>ALTER TABLE SC_RES.DimOrder ADD RowStatus varchar(1);</v>
      </c>
      <c r="I62" s="22"/>
    </row>
    <row r="63" spans="1:9" x14ac:dyDescent="0.3">
      <c r="A63" s="37" t="s">
        <v>86</v>
      </c>
      <c r="B63" s="22" t="s">
        <v>119</v>
      </c>
      <c r="C63" s="22" t="s">
        <v>80</v>
      </c>
      <c r="D63" s="22" t="s">
        <v>44</v>
      </c>
      <c r="E63" s="22"/>
      <c r="F63" s="22"/>
      <c r="G63" s="22" t="s">
        <v>273</v>
      </c>
      <c r="H63" s="22" t="str">
        <f t="shared" si="0"/>
        <v>ALTER TABLE SC_RES.DimOrder ADD IsLatest varchar(1);</v>
      </c>
      <c r="I63" s="22"/>
    </row>
    <row r="64" spans="1:9" x14ac:dyDescent="0.3">
      <c r="A64" s="31" t="s">
        <v>86</v>
      </c>
      <c r="B64" s="31" t="s">
        <v>182</v>
      </c>
      <c r="C64" s="31" t="s">
        <v>323</v>
      </c>
      <c r="D64" s="31" t="s">
        <v>28</v>
      </c>
      <c r="E64" s="31" t="s">
        <v>247</v>
      </c>
      <c r="F64" s="31"/>
      <c r="G64" s="31" t="s">
        <v>57</v>
      </c>
      <c r="H64" s="16" t="str">
        <f t="shared" si="0"/>
        <v>CREATE TABLE SC_RES.DimOrderItems (OrderItemsSK BigInt IDENTITY(1,1) PRIMARY KEY);</v>
      </c>
      <c r="I64" s="31"/>
    </row>
    <row r="65" spans="1:9" x14ac:dyDescent="0.3">
      <c r="A65" s="31" t="s">
        <v>86</v>
      </c>
      <c r="B65" s="31" t="s">
        <v>182</v>
      </c>
      <c r="C65" s="31" t="s">
        <v>183</v>
      </c>
      <c r="D65" s="31" t="s">
        <v>72</v>
      </c>
      <c r="E65" s="31"/>
      <c r="F65" s="31"/>
      <c r="G65" s="31" t="s">
        <v>283</v>
      </c>
      <c r="H65" s="16" t="str">
        <f t="shared" si="0"/>
        <v>ALTER TABLE SC_RES.DimOrderItems ADD OrderItemsBK VARCHAR(50);</v>
      </c>
      <c r="I65" s="31"/>
    </row>
    <row r="66" spans="1:9" x14ac:dyDescent="0.3">
      <c r="A66" s="31" t="s">
        <v>86</v>
      </c>
      <c r="B66" s="31" t="s">
        <v>182</v>
      </c>
      <c r="C66" s="31" t="s">
        <v>184</v>
      </c>
      <c r="D66" s="31" t="s">
        <v>72</v>
      </c>
      <c r="E66" s="31"/>
      <c r="F66" s="31"/>
      <c r="G66" s="31" t="s">
        <v>284</v>
      </c>
      <c r="H66" s="16" t="str">
        <f t="shared" si="0"/>
        <v>ALTER TABLE SC_RES.DimOrderItems ADD Specialinstruction VARCHAR(50);</v>
      </c>
      <c r="I66" s="31"/>
    </row>
    <row r="67" spans="1:9" x14ac:dyDescent="0.3">
      <c r="A67" s="31" t="s">
        <v>86</v>
      </c>
      <c r="B67" s="31" t="s">
        <v>182</v>
      </c>
      <c r="C67" s="31" t="s">
        <v>31</v>
      </c>
      <c r="D67" s="31" t="s">
        <v>84</v>
      </c>
      <c r="E67" s="31"/>
      <c r="F67" s="31"/>
      <c r="G67" s="31" t="s">
        <v>58</v>
      </c>
      <c r="H67" s="16" t="str">
        <f t="shared" ref="H67:H129" si="1">IF(E67="y",
 "CREATE TABLE " &amp; A67 &amp; "." &amp; B67 &amp; " (" &amp; C67 &amp; " " &amp; D67 &amp; " IDENTITY(1,1) PRIMARY KEY);",
 "ALTER TABLE " &amp; A67 &amp; "." &amp; B67 &amp; " ADD " &amp; C67 &amp; " " &amp; D67 &amp; ";")</f>
        <v>ALTER TABLE SC_RES.DimOrderItems ADD HashCode NVARCHAR(1000);</v>
      </c>
      <c r="I67" s="31"/>
    </row>
    <row r="68" spans="1:9" x14ac:dyDescent="0.3">
      <c r="A68" s="31" t="s">
        <v>86</v>
      </c>
      <c r="B68" s="31" t="s">
        <v>182</v>
      </c>
      <c r="C68" s="31" t="s">
        <v>75</v>
      </c>
      <c r="D68" s="31" t="s">
        <v>62</v>
      </c>
      <c r="E68" s="31"/>
      <c r="F68" s="31"/>
      <c r="G68" s="31" t="s">
        <v>260</v>
      </c>
      <c r="H68" s="16" t="str">
        <f t="shared" si="1"/>
        <v>ALTER TABLE SC_RES.DimOrderItems ADD LandingDate DATE;</v>
      </c>
      <c r="I68" s="31"/>
    </row>
    <row r="69" spans="1:9" x14ac:dyDescent="0.3">
      <c r="A69" s="31" t="s">
        <v>86</v>
      </c>
      <c r="B69" s="31" t="s">
        <v>182</v>
      </c>
      <c r="C69" s="31" t="s">
        <v>78</v>
      </c>
      <c r="D69" s="31" t="s">
        <v>62</v>
      </c>
      <c r="E69" s="31"/>
      <c r="F69" s="31"/>
      <c r="G69" s="31" t="s">
        <v>272</v>
      </c>
      <c r="H69" s="16" t="str">
        <f t="shared" si="1"/>
        <v>ALTER TABLE SC_RES.DimOrderItems ADD StartDate DATE;</v>
      </c>
      <c r="I69" s="31"/>
    </row>
    <row r="70" spans="1:9" x14ac:dyDescent="0.3">
      <c r="A70" s="31" t="s">
        <v>86</v>
      </c>
      <c r="B70" s="31" t="s">
        <v>182</v>
      </c>
      <c r="C70" s="31" t="s">
        <v>20</v>
      </c>
      <c r="D70" s="31" t="s">
        <v>62</v>
      </c>
      <c r="E70" s="31"/>
      <c r="F70" s="31"/>
      <c r="G70" s="31" t="s">
        <v>262</v>
      </c>
      <c r="H70" s="16" t="str">
        <f t="shared" si="1"/>
        <v>ALTER TABLE SC_RES.DimOrderItems ADD EndDate DATE;</v>
      </c>
      <c r="I70" s="31"/>
    </row>
    <row r="71" spans="1:9" x14ac:dyDescent="0.3">
      <c r="A71" s="31" t="s">
        <v>86</v>
      </c>
      <c r="B71" s="31" t="s">
        <v>182</v>
      </c>
      <c r="C71" s="31" t="s">
        <v>79</v>
      </c>
      <c r="D71" s="31" t="s">
        <v>44</v>
      </c>
      <c r="E71" s="31"/>
      <c r="F71" s="31"/>
      <c r="G71" s="31" t="s">
        <v>263</v>
      </c>
      <c r="H71" s="16" t="str">
        <f t="shared" si="1"/>
        <v>ALTER TABLE SC_RES.DimOrderItems ADD RowStatus varchar(1);</v>
      </c>
      <c r="I71" s="31"/>
    </row>
    <row r="72" spans="1:9" x14ac:dyDescent="0.3">
      <c r="A72" s="31" t="s">
        <v>86</v>
      </c>
      <c r="B72" s="31" t="s">
        <v>182</v>
      </c>
      <c r="C72" s="31" t="s">
        <v>80</v>
      </c>
      <c r="D72" s="31" t="s">
        <v>44</v>
      </c>
      <c r="E72" s="31"/>
      <c r="F72" s="31"/>
      <c r="G72" s="31" t="s">
        <v>273</v>
      </c>
      <c r="H72" s="16" t="str">
        <f t="shared" si="1"/>
        <v>ALTER TABLE SC_RES.DimOrderItems ADD IsLatest varchar(1);</v>
      </c>
      <c r="I72" s="31"/>
    </row>
    <row r="73" spans="1:9" x14ac:dyDescent="0.3">
      <c r="A73" s="42" t="s">
        <v>26</v>
      </c>
      <c r="B73" s="43" t="s">
        <v>29</v>
      </c>
      <c r="C73" s="43" t="s">
        <v>14</v>
      </c>
      <c r="D73" s="43" t="s">
        <v>28</v>
      </c>
      <c r="E73" s="43" t="s">
        <v>247</v>
      </c>
      <c r="F73" s="43"/>
      <c r="G73" s="43" t="s">
        <v>57</v>
      </c>
      <c r="H73" s="43" t="str">
        <f t="shared" si="1"/>
        <v>CREATE TABLE Shared.DimCalendarDate (DateSk BigInt IDENTITY(1,1) PRIMARY KEY);</v>
      </c>
      <c r="I73" s="43"/>
    </row>
    <row r="74" spans="1:9" x14ac:dyDescent="0.3">
      <c r="A74" s="42" t="s">
        <v>26</v>
      </c>
      <c r="B74" s="43" t="s">
        <v>29</v>
      </c>
      <c r="C74" s="43" t="s">
        <v>120</v>
      </c>
      <c r="D74" s="43" t="s">
        <v>152</v>
      </c>
      <c r="E74" s="43"/>
      <c r="F74" s="43"/>
      <c r="G74" s="43" t="s">
        <v>285</v>
      </c>
      <c r="H74" s="43" t="str">
        <f t="shared" si="1"/>
        <v>ALTER TABLE Shared.DimCalendarDate ADD Date_Seq INT;</v>
      </c>
      <c r="I74" s="43"/>
    </row>
    <row r="75" spans="1:9" x14ac:dyDescent="0.3">
      <c r="A75" s="42" t="s">
        <v>26</v>
      </c>
      <c r="B75" s="43" t="s">
        <v>29</v>
      </c>
      <c r="C75" s="43" t="s">
        <v>13</v>
      </c>
      <c r="D75" s="43" t="s">
        <v>62</v>
      </c>
      <c r="E75" s="43"/>
      <c r="F75" s="43"/>
      <c r="G75" s="43" t="s">
        <v>286</v>
      </c>
      <c r="H75" s="43" t="str">
        <f t="shared" si="1"/>
        <v>ALTER TABLE Shared.DimCalendarDate ADD Date DATE;</v>
      </c>
      <c r="I75" s="43"/>
    </row>
    <row r="76" spans="1:9" x14ac:dyDescent="0.3">
      <c r="A76" s="42" t="s">
        <v>26</v>
      </c>
      <c r="B76" s="43" t="s">
        <v>29</v>
      </c>
      <c r="C76" s="43" t="s">
        <v>16</v>
      </c>
      <c r="D76" s="43" t="s">
        <v>153</v>
      </c>
      <c r="E76" s="43"/>
      <c r="F76" s="43"/>
      <c r="G76" s="43" t="s">
        <v>287</v>
      </c>
      <c r="H76" s="43" t="str">
        <f t="shared" si="1"/>
        <v>ALTER TABLE Shared.DimCalendarDate ADD Day CHAR(10);</v>
      </c>
      <c r="I76" s="43"/>
    </row>
    <row r="77" spans="1:9" x14ac:dyDescent="0.3">
      <c r="A77" s="42" t="s">
        <v>26</v>
      </c>
      <c r="B77" s="43" t="s">
        <v>29</v>
      </c>
      <c r="C77" s="43" t="s">
        <v>121</v>
      </c>
      <c r="D77" s="43" t="s">
        <v>154</v>
      </c>
      <c r="E77" s="43"/>
      <c r="F77" s="43"/>
      <c r="G77" s="43" t="s">
        <v>288</v>
      </c>
      <c r="H77" s="43" t="str">
        <f t="shared" si="1"/>
        <v>ALTER TABLE Shared.DimCalendarDate ADD DaySuffix VARCHAR(2);</v>
      </c>
      <c r="I77" s="43"/>
    </row>
    <row r="78" spans="1:9" x14ac:dyDescent="0.3">
      <c r="A78" s="42" t="s">
        <v>26</v>
      </c>
      <c r="B78" s="43" t="s">
        <v>29</v>
      </c>
      <c r="C78" s="43" t="s">
        <v>17</v>
      </c>
      <c r="D78" s="43" t="s">
        <v>155</v>
      </c>
      <c r="E78" s="43"/>
      <c r="F78" s="43"/>
      <c r="G78" s="43" t="s">
        <v>289</v>
      </c>
      <c r="H78" s="43" t="str">
        <f t="shared" si="1"/>
        <v>ALTER TABLE Shared.DimCalendarDate ADD DayName VARCHAR(9);</v>
      </c>
      <c r="I78" s="43"/>
    </row>
    <row r="79" spans="1:9" x14ac:dyDescent="0.3">
      <c r="A79" s="42" t="s">
        <v>26</v>
      </c>
      <c r="B79" s="43" t="s">
        <v>29</v>
      </c>
      <c r="C79" s="43" t="s">
        <v>148</v>
      </c>
      <c r="D79" s="43" t="s">
        <v>73</v>
      </c>
      <c r="E79" s="43"/>
      <c r="F79" s="43"/>
      <c r="G79" s="43" t="s">
        <v>290</v>
      </c>
      <c r="H79" s="43" t="str">
        <f t="shared" si="1"/>
        <v>ALTER TABLE Shared.DimCalendarDate ADD DaySeqInWeek CHAR(1);</v>
      </c>
      <c r="I79" s="43"/>
    </row>
    <row r="80" spans="1:9" x14ac:dyDescent="0.3">
      <c r="A80" s="42" t="s">
        <v>26</v>
      </c>
      <c r="B80" s="43" t="s">
        <v>29</v>
      </c>
      <c r="C80" s="43" t="s">
        <v>122</v>
      </c>
      <c r="D80" s="43" t="s">
        <v>154</v>
      </c>
      <c r="E80" s="43"/>
      <c r="F80" s="43"/>
      <c r="G80" s="43" t="s">
        <v>291</v>
      </c>
      <c r="H80" s="43" t="str">
        <f t="shared" si="1"/>
        <v>ALTER TABLE Shared.DimCalendarDate ADD WeekInMonth VARCHAR(2);</v>
      </c>
      <c r="I80" s="43"/>
    </row>
    <row r="81" spans="1:9" x14ac:dyDescent="0.3">
      <c r="A81" s="42" t="s">
        <v>26</v>
      </c>
      <c r="B81" s="43" t="s">
        <v>29</v>
      </c>
      <c r="C81" s="43" t="s">
        <v>149</v>
      </c>
      <c r="D81" s="43" t="s">
        <v>154</v>
      </c>
      <c r="E81" s="43"/>
      <c r="F81" s="43"/>
      <c r="G81" s="43" t="s">
        <v>292</v>
      </c>
      <c r="H81" s="43" t="str">
        <f t="shared" si="1"/>
        <v>ALTER TABLE Shared.DimCalendarDate ADD WeekInYear VARCHAR(2);</v>
      </c>
      <c r="I81" s="43"/>
    </row>
    <row r="82" spans="1:9" x14ac:dyDescent="0.3">
      <c r="A82" s="42" t="s">
        <v>26</v>
      </c>
      <c r="B82" s="43" t="s">
        <v>29</v>
      </c>
      <c r="C82" s="43" t="s">
        <v>123</v>
      </c>
      <c r="D82" s="43" t="s">
        <v>156</v>
      </c>
      <c r="E82" s="43"/>
      <c r="F82" s="43"/>
      <c r="G82" s="43" t="s">
        <v>293</v>
      </c>
      <c r="H82" s="43" t="str">
        <f t="shared" si="1"/>
        <v>ALTER TABLE Shared.DimCalendarDate ADD WeekInYearName VARCHAR(3);</v>
      </c>
      <c r="I82" s="43"/>
    </row>
    <row r="83" spans="1:9" x14ac:dyDescent="0.3">
      <c r="A83" s="42" t="s">
        <v>26</v>
      </c>
      <c r="B83" s="43" t="s">
        <v>29</v>
      </c>
      <c r="C83" s="43" t="s">
        <v>124</v>
      </c>
      <c r="D83" s="43" t="s">
        <v>157</v>
      </c>
      <c r="E83" s="43"/>
      <c r="F83" s="43"/>
      <c r="G83" s="43" t="s">
        <v>294</v>
      </c>
      <c r="H83" s="43" t="str">
        <f t="shared" si="1"/>
        <v>ALTER TABLE Shared.DimCalendarDate ADD WeekInYearDesc VARCHAR(8);</v>
      </c>
      <c r="I83" s="43"/>
    </row>
    <row r="84" spans="1:9" x14ac:dyDescent="0.3">
      <c r="A84" s="42" t="s">
        <v>26</v>
      </c>
      <c r="B84" s="43" t="s">
        <v>29</v>
      </c>
      <c r="C84" s="43" t="s">
        <v>125</v>
      </c>
      <c r="D84" s="43" t="s">
        <v>158</v>
      </c>
      <c r="E84" s="43"/>
      <c r="F84" s="43"/>
      <c r="G84" s="43" t="s">
        <v>295</v>
      </c>
      <c r="H84" s="43" t="str">
        <f t="shared" si="1"/>
        <v>ALTER TABLE Shared.DimCalendarDate ADD WeekInYearNum VARCHAR(6);</v>
      </c>
      <c r="I84" s="43"/>
    </row>
    <row r="85" spans="1:9" x14ac:dyDescent="0.3">
      <c r="A85" s="42" t="s">
        <v>26</v>
      </c>
      <c r="B85" s="43" t="s">
        <v>29</v>
      </c>
      <c r="C85" s="43" t="s">
        <v>126</v>
      </c>
      <c r="D85" s="43" t="s">
        <v>156</v>
      </c>
      <c r="E85" s="43"/>
      <c r="F85" s="43"/>
      <c r="G85" s="43" t="s">
        <v>296</v>
      </c>
      <c r="H85" s="43" t="str">
        <f t="shared" si="1"/>
        <v>ALTER TABLE Shared.DimCalendarDate ADD WeekInQuarter VARCHAR(3);</v>
      </c>
      <c r="I85" s="43"/>
    </row>
    <row r="86" spans="1:9" x14ac:dyDescent="0.3">
      <c r="A86" s="42" t="s">
        <v>26</v>
      </c>
      <c r="B86" s="43" t="s">
        <v>29</v>
      </c>
      <c r="C86" s="43" t="s">
        <v>127</v>
      </c>
      <c r="D86" s="43" t="s">
        <v>154</v>
      </c>
      <c r="E86" s="43"/>
      <c r="F86" s="43"/>
      <c r="G86" s="43" t="s">
        <v>297</v>
      </c>
      <c r="H86" s="43" t="str">
        <f t="shared" si="1"/>
        <v>ALTER TABLE Shared.DimCalendarDate ADD WeekOfYear VARCHAR(2);</v>
      </c>
      <c r="I86" s="43"/>
    </row>
    <row r="87" spans="1:9" x14ac:dyDescent="0.3">
      <c r="A87" s="42" t="s">
        <v>26</v>
      </c>
      <c r="B87" s="43" t="s">
        <v>29</v>
      </c>
      <c r="C87" s="43" t="s">
        <v>15</v>
      </c>
      <c r="D87" s="43" t="s">
        <v>154</v>
      </c>
      <c r="E87" s="43"/>
      <c r="F87" s="43"/>
      <c r="G87" s="43" t="s">
        <v>298</v>
      </c>
      <c r="H87" s="43" t="str">
        <f t="shared" si="1"/>
        <v>ALTER TABLE Shared.DimCalendarDate ADD Month VARCHAR(2);</v>
      </c>
      <c r="I87" s="43"/>
    </row>
    <row r="88" spans="1:9" x14ac:dyDescent="0.3">
      <c r="A88" s="42" t="s">
        <v>26</v>
      </c>
      <c r="B88" s="43" t="s">
        <v>29</v>
      </c>
      <c r="C88" s="43" t="s">
        <v>18</v>
      </c>
      <c r="D88" s="43" t="s">
        <v>155</v>
      </c>
      <c r="E88" s="43"/>
      <c r="F88" s="43"/>
      <c r="G88" s="43" t="s">
        <v>299</v>
      </c>
      <c r="H88" s="43" t="str">
        <f t="shared" si="1"/>
        <v>ALTER TABLE Shared.DimCalendarDate ADD MonthName VARCHAR(9);</v>
      </c>
      <c r="I88" s="43"/>
    </row>
    <row r="89" spans="1:9" x14ac:dyDescent="0.3">
      <c r="A89" s="42" t="s">
        <v>26</v>
      </c>
      <c r="B89" s="43" t="s">
        <v>29</v>
      </c>
      <c r="C89" s="43" t="s">
        <v>128</v>
      </c>
      <c r="D89" s="43" t="s">
        <v>154</v>
      </c>
      <c r="E89" s="43"/>
      <c r="F89" s="43"/>
      <c r="G89" s="43" t="s">
        <v>300</v>
      </c>
      <c r="H89" s="43" t="str">
        <f t="shared" si="1"/>
        <v>ALTER TABLE Shared.DimCalendarDate ADD MonthOfQuarter VARCHAR(2);</v>
      </c>
      <c r="I89" s="43"/>
    </row>
    <row r="90" spans="1:9" x14ac:dyDescent="0.3">
      <c r="A90" s="42" t="s">
        <v>26</v>
      </c>
      <c r="B90" s="43" t="s">
        <v>29</v>
      </c>
      <c r="C90" s="43" t="s">
        <v>19</v>
      </c>
      <c r="D90" s="43" t="s">
        <v>73</v>
      </c>
      <c r="E90" s="43"/>
      <c r="F90" s="43"/>
      <c r="G90" s="43" t="s">
        <v>301</v>
      </c>
      <c r="H90" s="43" t="str">
        <f t="shared" si="1"/>
        <v>ALTER TABLE Shared.DimCalendarDate ADD Quarter CHAR(1);</v>
      </c>
      <c r="I90" s="43"/>
    </row>
    <row r="91" spans="1:9" x14ac:dyDescent="0.3">
      <c r="A91" s="42" t="s">
        <v>26</v>
      </c>
      <c r="B91" s="43" t="s">
        <v>29</v>
      </c>
      <c r="C91" s="43" t="s">
        <v>129</v>
      </c>
      <c r="D91" s="43" t="s">
        <v>155</v>
      </c>
      <c r="E91" s="43"/>
      <c r="F91" s="43"/>
      <c r="G91" s="43" t="s">
        <v>302</v>
      </c>
      <c r="H91" s="43" t="str">
        <f t="shared" si="1"/>
        <v>ALTER TABLE Shared.DimCalendarDate ADD QuarterYear VARCHAR(9);</v>
      </c>
      <c r="I91" s="43"/>
    </row>
    <row r="92" spans="1:9" x14ac:dyDescent="0.3">
      <c r="A92" s="42" t="s">
        <v>26</v>
      </c>
      <c r="B92" s="43" t="s">
        <v>29</v>
      </c>
      <c r="C92" s="43" t="s">
        <v>130</v>
      </c>
      <c r="D92" s="43" t="s">
        <v>155</v>
      </c>
      <c r="E92" s="43"/>
      <c r="F92" s="43"/>
      <c r="G92" s="43" t="s">
        <v>303</v>
      </c>
      <c r="H92" s="43" t="str">
        <f t="shared" si="1"/>
        <v>ALTER TABLE Shared.DimCalendarDate ADD QuarterName VARCHAR(9);</v>
      </c>
      <c r="I92" s="43"/>
    </row>
    <row r="93" spans="1:9" x14ac:dyDescent="0.3">
      <c r="A93" s="42" t="s">
        <v>26</v>
      </c>
      <c r="B93" s="43" t="s">
        <v>29</v>
      </c>
      <c r="C93" s="43" t="s">
        <v>131</v>
      </c>
      <c r="D93" s="43" t="s">
        <v>155</v>
      </c>
      <c r="E93" s="43"/>
      <c r="F93" s="43"/>
      <c r="G93" s="43" t="s">
        <v>304</v>
      </c>
      <c r="H93" s="43" t="str">
        <f t="shared" si="1"/>
        <v>ALTER TABLE Shared.DimCalendarDate ADD QuarterYearNum VARCHAR(9);</v>
      </c>
      <c r="I93" s="43"/>
    </row>
    <row r="94" spans="1:9" x14ac:dyDescent="0.3">
      <c r="A94" s="42" t="s">
        <v>26</v>
      </c>
      <c r="B94" s="43" t="s">
        <v>29</v>
      </c>
      <c r="C94" s="43" t="s">
        <v>132</v>
      </c>
      <c r="D94" s="43" t="s">
        <v>159</v>
      </c>
      <c r="E94" s="43"/>
      <c r="F94" s="43"/>
      <c r="G94" s="43" t="s">
        <v>305</v>
      </c>
      <c r="H94" s="43" t="str">
        <f t="shared" si="1"/>
        <v>ALTER TABLE Shared.DimCalendarDate ADD Year CHAR(4);</v>
      </c>
      <c r="I94" s="43"/>
    </row>
    <row r="95" spans="1:9" x14ac:dyDescent="0.3">
      <c r="A95" s="42" t="s">
        <v>26</v>
      </c>
      <c r="B95" s="43" t="s">
        <v>29</v>
      </c>
      <c r="C95" s="43" t="s">
        <v>133</v>
      </c>
      <c r="D95" s="43" t="s">
        <v>160</v>
      </c>
      <c r="E95" s="43"/>
      <c r="F95" s="43"/>
      <c r="G95" s="43" t="s">
        <v>306</v>
      </c>
      <c r="H95" s="43" t="str">
        <f t="shared" si="1"/>
        <v>ALTER TABLE Shared.DimCalendarDate ADD YearName CHAR(7);</v>
      </c>
      <c r="I95" s="43"/>
    </row>
    <row r="96" spans="1:9" x14ac:dyDescent="0.3">
      <c r="A96" s="42" t="s">
        <v>26</v>
      </c>
      <c r="B96" s="43" t="s">
        <v>29</v>
      </c>
      <c r="C96" s="43" t="s">
        <v>134</v>
      </c>
      <c r="D96" s="43" t="s">
        <v>153</v>
      </c>
      <c r="E96" s="43"/>
      <c r="F96" s="43"/>
      <c r="G96" s="43" t="s">
        <v>307</v>
      </c>
      <c r="H96" s="43" t="str">
        <f t="shared" si="1"/>
        <v>ALTER TABLE Shared.DimCalendarDate ADD MonthYear CHAR(10);</v>
      </c>
      <c r="I96" s="43"/>
    </row>
    <row r="97" spans="1:9" x14ac:dyDescent="0.3">
      <c r="A97" s="42" t="s">
        <v>26</v>
      </c>
      <c r="B97" s="43" t="s">
        <v>29</v>
      </c>
      <c r="C97" s="43" t="s">
        <v>135</v>
      </c>
      <c r="D97" s="43" t="s">
        <v>159</v>
      </c>
      <c r="E97" s="43"/>
      <c r="F97" s="43"/>
      <c r="G97" s="43" t="s">
        <v>308</v>
      </c>
      <c r="H97" s="43" t="str">
        <f t="shared" si="1"/>
        <v>ALTER TABLE Shared.DimCalendarDate ADD MonthYearNum CHAR(4);</v>
      </c>
      <c r="I97" s="43"/>
    </row>
    <row r="98" spans="1:9" x14ac:dyDescent="0.3">
      <c r="A98" s="42" t="s">
        <v>26</v>
      </c>
      <c r="B98" s="43" t="s">
        <v>29</v>
      </c>
      <c r="C98" s="43" t="s">
        <v>136</v>
      </c>
      <c r="D98" s="43" t="s">
        <v>62</v>
      </c>
      <c r="E98" s="43"/>
      <c r="F98" s="43"/>
      <c r="G98" s="43" t="s">
        <v>309</v>
      </c>
      <c r="H98" s="43" t="str">
        <f t="shared" si="1"/>
        <v>ALTER TABLE Shared.DimCalendarDate ADD FirstDayOfMonth DATE;</v>
      </c>
      <c r="I98" s="43"/>
    </row>
    <row r="99" spans="1:9" x14ac:dyDescent="0.3">
      <c r="A99" s="42" t="s">
        <v>26</v>
      </c>
      <c r="B99" s="43" t="s">
        <v>29</v>
      </c>
      <c r="C99" s="43" t="s">
        <v>137</v>
      </c>
      <c r="D99" s="43" t="s">
        <v>152</v>
      </c>
      <c r="E99" s="43"/>
      <c r="F99" s="43"/>
      <c r="G99" s="43" t="s">
        <v>310</v>
      </c>
      <c r="H99" s="43" t="str">
        <f t="shared" si="1"/>
        <v>ALTER TABLE Shared.DimCalendarDate ADD FirstDayOfMonthNum INT;</v>
      </c>
      <c r="I99" s="43"/>
    </row>
    <row r="100" spans="1:9" x14ac:dyDescent="0.3">
      <c r="A100" s="42" t="s">
        <v>26</v>
      </c>
      <c r="B100" s="43" t="s">
        <v>29</v>
      </c>
      <c r="C100" s="43" t="s">
        <v>150</v>
      </c>
      <c r="D100" s="43" t="s">
        <v>62</v>
      </c>
      <c r="E100" s="43"/>
      <c r="F100" s="43"/>
      <c r="G100" s="43" t="s">
        <v>311</v>
      </c>
      <c r="H100" s="43" t="str">
        <f t="shared" si="1"/>
        <v>ALTER TABLE Shared.DimCalendarDate ADD LastDayOfMonth DATE;</v>
      </c>
      <c r="I100" s="43"/>
    </row>
    <row r="101" spans="1:9" x14ac:dyDescent="0.3">
      <c r="A101" s="42" t="s">
        <v>26</v>
      </c>
      <c r="B101" s="43" t="s">
        <v>29</v>
      </c>
      <c r="C101" s="43" t="s">
        <v>138</v>
      </c>
      <c r="D101" s="43" t="s">
        <v>152</v>
      </c>
      <c r="E101" s="43"/>
      <c r="F101" s="43"/>
      <c r="G101" s="43" t="s">
        <v>312</v>
      </c>
      <c r="H101" s="43" t="str">
        <f t="shared" si="1"/>
        <v>ALTER TABLE Shared.DimCalendarDate ADD LastDayOfMonthNum INT;</v>
      </c>
      <c r="I101" s="43"/>
    </row>
    <row r="102" spans="1:9" x14ac:dyDescent="0.3">
      <c r="A102" s="42" t="s">
        <v>26</v>
      </c>
      <c r="B102" s="43" t="s">
        <v>29</v>
      </c>
      <c r="C102" s="43" t="s">
        <v>139</v>
      </c>
      <c r="D102" s="43" t="s">
        <v>62</v>
      </c>
      <c r="E102" s="43"/>
      <c r="F102" s="43"/>
      <c r="G102" s="43" t="s">
        <v>313</v>
      </c>
      <c r="H102" s="43" t="str">
        <f t="shared" si="1"/>
        <v>ALTER TABLE Shared.DimCalendarDate ADD FirstDayInQuarter DATE;</v>
      </c>
      <c r="I102" s="43"/>
    </row>
    <row r="103" spans="1:9" x14ac:dyDescent="0.3">
      <c r="A103" s="42" t="s">
        <v>26</v>
      </c>
      <c r="B103" s="43" t="s">
        <v>29</v>
      </c>
      <c r="C103" s="43" t="s">
        <v>140</v>
      </c>
      <c r="D103" s="43" t="s">
        <v>152</v>
      </c>
      <c r="E103" s="43"/>
      <c r="F103" s="43"/>
      <c r="G103" s="43" t="s">
        <v>314</v>
      </c>
      <c r="H103" s="43" t="str">
        <f t="shared" si="1"/>
        <v>ALTER TABLE Shared.DimCalendarDate ADD FirstDayInQuarterNum INT;</v>
      </c>
      <c r="I103" s="43"/>
    </row>
    <row r="104" spans="1:9" x14ac:dyDescent="0.3">
      <c r="A104" s="42" t="s">
        <v>26</v>
      </c>
      <c r="B104" s="43" t="s">
        <v>29</v>
      </c>
      <c r="C104" s="43" t="s">
        <v>141</v>
      </c>
      <c r="D104" s="43" t="s">
        <v>62</v>
      </c>
      <c r="E104" s="43"/>
      <c r="F104" s="43"/>
      <c r="G104" s="43" t="s">
        <v>315</v>
      </c>
      <c r="H104" s="43" t="str">
        <f t="shared" si="1"/>
        <v>ALTER TABLE Shared.DimCalendarDate ADD LastDayInQuarter DATE;</v>
      </c>
      <c r="I104" s="43"/>
    </row>
    <row r="105" spans="1:9" x14ac:dyDescent="0.3">
      <c r="A105" s="42" t="s">
        <v>26</v>
      </c>
      <c r="B105" s="43" t="s">
        <v>29</v>
      </c>
      <c r="C105" s="43" t="s">
        <v>142</v>
      </c>
      <c r="D105" s="43" t="s">
        <v>152</v>
      </c>
      <c r="E105" s="43"/>
      <c r="F105" s="43"/>
      <c r="G105" s="43" t="s">
        <v>316</v>
      </c>
      <c r="H105" s="43" t="str">
        <f t="shared" si="1"/>
        <v>ALTER TABLE Shared.DimCalendarDate ADD LastDayInQuarterNum INT;</v>
      </c>
      <c r="I105" s="43"/>
    </row>
    <row r="106" spans="1:9" x14ac:dyDescent="0.3">
      <c r="A106" s="42" t="s">
        <v>26</v>
      </c>
      <c r="B106" s="43" t="s">
        <v>29</v>
      </c>
      <c r="C106" s="43" t="s">
        <v>143</v>
      </c>
      <c r="D106" s="43" t="s">
        <v>62</v>
      </c>
      <c r="E106" s="43"/>
      <c r="F106" s="43"/>
      <c r="G106" s="43" t="s">
        <v>317</v>
      </c>
      <c r="H106" s="43" t="str">
        <f t="shared" si="1"/>
        <v>ALTER TABLE Shared.DimCalendarDate ADD FirstDayInYear DATE;</v>
      </c>
      <c r="I106" s="43"/>
    </row>
    <row r="107" spans="1:9" x14ac:dyDescent="0.3">
      <c r="A107" s="42" t="s">
        <v>26</v>
      </c>
      <c r="B107" s="43" t="s">
        <v>29</v>
      </c>
      <c r="C107" s="43" t="s">
        <v>144</v>
      </c>
      <c r="D107" s="43" t="s">
        <v>152</v>
      </c>
      <c r="E107" s="43"/>
      <c r="F107" s="43"/>
      <c r="G107" s="43" t="s">
        <v>318</v>
      </c>
      <c r="H107" s="43" t="str">
        <f t="shared" si="1"/>
        <v>ALTER TABLE Shared.DimCalendarDate ADD FirstYearInDayNum INT;</v>
      </c>
      <c r="I107" s="43"/>
    </row>
    <row r="108" spans="1:9" x14ac:dyDescent="0.3">
      <c r="A108" s="42" t="s">
        <v>26</v>
      </c>
      <c r="B108" s="43" t="s">
        <v>29</v>
      </c>
      <c r="C108" s="43" t="s">
        <v>145</v>
      </c>
      <c r="D108" s="43" t="s">
        <v>62</v>
      </c>
      <c r="E108" s="43"/>
      <c r="F108" s="43"/>
      <c r="G108" s="43" t="s">
        <v>319</v>
      </c>
      <c r="H108" s="43" t="str">
        <f t="shared" si="1"/>
        <v>ALTER TABLE Shared.DimCalendarDate ADD LastDayInYearNum DATE;</v>
      </c>
      <c r="I108" s="43"/>
    </row>
    <row r="109" spans="1:9" x14ac:dyDescent="0.3">
      <c r="A109" s="42" t="s">
        <v>26</v>
      </c>
      <c r="B109" s="43" t="s">
        <v>29</v>
      </c>
      <c r="C109" s="43" t="s">
        <v>146</v>
      </c>
      <c r="D109" s="43" t="s">
        <v>161</v>
      </c>
      <c r="E109" s="43"/>
      <c r="F109" s="43"/>
      <c r="G109" s="43" t="s">
        <v>320</v>
      </c>
      <c r="H109" s="43" t="str">
        <f t="shared" si="1"/>
        <v>ALTER TABLE Shared.DimCalendarDate ADD IsHoliday IBIT;</v>
      </c>
      <c r="I109" s="43"/>
    </row>
    <row r="110" spans="1:9" ht="14.4" customHeight="1" x14ac:dyDescent="0.3">
      <c r="A110" s="42" t="s">
        <v>26</v>
      </c>
      <c r="B110" s="43" t="s">
        <v>29</v>
      </c>
      <c r="C110" s="43" t="s">
        <v>147</v>
      </c>
      <c r="D110" s="43" t="s">
        <v>107</v>
      </c>
      <c r="E110" s="43"/>
      <c r="F110" s="43"/>
      <c r="G110" s="43" t="s">
        <v>321</v>
      </c>
      <c r="H110" s="43" t="str">
        <f t="shared" si="1"/>
        <v>ALTER TABLE Shared.DimCalendarDate ADD IsWeekDay BIT;</v>
      </c>
      <c r="I110" s="43"/>
    </row>
    <row r="111" spans="1:9" x14ac:dyDescent="0.3">
      <c r="A111" s="42" t="s">
        <v>26</v>
      </c>
      <c r="B111" s="43" t="s">
        <v>29</v>
      </c>
      <c r="C111" s="43" t="s">
        <v>151</v>
      </c>
      <c r="D111" s="43" t="s">
        <v>72</v>
      </c>
      <c r="E111" s="43"/>
      <c r="F111" s="43"/>
      <c r="G111" s="43" t="s">
        <v>322</v>
      </c>
      <c r="H111" s="43" t="str">
        <f t="shared" si="1"/>
        <v>ALTER TABLE Shared.DimCalendarDate ADD HolidayName VARCHAR(50);</v>
      </c>
      <c r="I111" s="43"/>
    </row>
    <row r="112" spans="1:9" x14ac:dyDescent="0.3">
      <c r="A112" s="37" t="s">
        <v>86</v>
      </c>
      <c r="B112" s="22" t="s">
        <v>162</v>
      </c>
      <c r="C112" s="22" t="s">
        <v>117</v>
      </c>
      <c r="D112" s="22" t="s">
        <v>30</v>
      </c>
      <c r="E112" s="22" t="s">
        <v>247</v>
      </c>
      <c r="F112" s="22"/>
      <c r="G112" s="22"/>
      <c r="H112" s="22" t="str">
        <f t="shared" si="1"/>
        <v>CREATE TABLE SC_RES.FactOrder (OrderSK bigint IDENTITY(1,1) PRIMARY KEY);</v>
      </c>
      <c r="I112" s="22"/>
    </row>
    <row r="113" spans="1:13" x14ac:dyDescent="0.3">
      <c r="A113" s="37" t="s">
        <v>86</v>
      </c>
      <c r="B113" s="22" t="s">
        <v>162</v>
      </c>
      <c r="C113" s="22" t="s">
        <v>163</v>
      </c>
      <c r="D113" s="22" t="s">
        <v>30</v>
      </c>
      <c r="E113" s="22"/>
      <c r="F113" s="22"/>
      <c r="G113" s="22"/>
      <c r="H113" s="22" t="str">
        <f t="shared" si="1"/>
        <v>ALTER TABLE SC_RES.FactOrder ADD DateSK bigint;</v>
      </c>
      <c r="I113" s="22"/>
      <c r="J113" t="s">
        <v>26</v>
      </c>
      <c r="K113" t="s">
        <v>29</v>
      </c>
      <c r="L113" t="s">
        <v>163</v>
      </c>
      <c r="M113" t="str">
        <f>IF(OR(A113="",B113="",C113="",J113="",K113="",L113=""),"",
"ALTER TABLE " &amp; A113 &amp; "." &amp; B113 &amp;
" ADD CONSTRAINT FK_" &amp; B113 &amp; "_" &amp; C113 &amp;
" FOREIGN KEY (" &amp; C113 &amp; ") REFERENCES " &amp;
J113 &amp; "." &amp; K113 &amp; "(" &amp; L113 &amp; ");")</f>
        <v>ALTER TABLE SC_RES.FactOrder ADD CONSTRAINT FK_FactOrder_DateSK FOREIGN KEY (DateSK) REFERENCES Shared.DimCalendarDate(DateSK);</v>
      </c>
    </row>
    <row r="114" spans="1:13" x14ac:dyDescent="0.3">
      <c r="A114" s="37" t="s">
        <v>86</v>
      </c>
      <c r="B114" s="22" t="s">
        <v>162</v>
      </c>
      <c r="C114" s="22" t="s">
        <v>323</v>
      </c>
      <c r="D114" s="22" t="s">
        <v>30</v>
      </c>
      <c r="E114" s="22"/>
      <c r="F114" s="22"/>
      <c r="G114" s="22"/>
      <c r="H114" s="22" t="str">
        <f t="shared" si="1"/>
        <v>ALTER TABLE SC_RES.FactOrder ADD OrderItemsSK bigint;</v>
      </c>
      <c r="I114" s="22"/>
      <c r="J114" t="s">
        <v>86</v>
      </c>
      <c r="K114" t="s">
        <v>326</v>
      </c>
      <c r="L114" t="s">
        <v>323</v>
      </c>
      <c r="M114" t="str">
        <f t="shared" ref="M114:M184" si="2">IF(OR(A114="",B114="",C114="",J114="",K114="",L114=""),"",
"ALTER TABLE " &amp; A114 &amp; "." &amp; B114 &amp;
" ADD CONSTRAINT FK_" &amp; B114 &amp; "_" &amp; C114 &amp;
" FOREIGN KEY (" &amp; C114 &amp; ") REFERENCES " &amp;
J114 &amp; "." &amp; K114 &amp; "(" &amp; L114 &amp; ");")</f>
        <v>ALTER TABLE SC_RES.FactOrder ADD CONSTRAINT FK_FactOrder_OrderItemsSK FOREIGN KEY (OrderItemsSK) REFERENCES SC_RES.DimOrderitems(OrderItemsSK);</v>
      </c>
    </row>
    <row r="115" spans="1:13" x14ac:dyDescent="0.3">
      <c r="A115" s="37" t="s">
        <v>86</v>
      </c>
      <c r="B115" s="22" t="s">
        <v>162</v>
      </c>
      <c r="C115" s="22" t="s">
        <v>83</v>
      </c>
      <c r="D115" s="22" t="s">
        <v>30</v>
      </c>
      <c r="E115" s="22"/>
      <c r="F115" s="22"/>
      <c r="G115" s="22"/>
      <c r="H115" s="22" t="str">
        <f t="shared" si="1"/>
        <v>ALTER TABLE SC_RES.FactOrder ADD CustomerSK bigint;</v>
      </c>
      <c r="I115" s="22"/>
      <c r="J115" t="s">
        <v>86</v>
      </c>
      <c r="K115" t="s">
        <v>85</v>
      </c>
      <c r="L115" t="s">
        <v>83</v>
      </c>
      <c r="M115" t="str">
        <f t="shared" si="2"/>
        <v>ALTER TABLE SC_RES.FactOrder ADD CONSTRAINT FK_FactOrder_CustomerSK FOREIGN KEY (CustomerSK) REFERENCES SC_RES.DimCustomer(CustomerSK);</v>
      </c>
    </row>
    <row r="116" spans="1:13" x14ac:dyDescent="0.3">
      <c r="A116" s="37" t="s">
        <v>86</v>
      </c>
      <c r="B116" s="22" t="s">
        <v>162</v>
      </c>
      <c r="C116" s="22" t="s">
        <v>164</v>
      </c>
      <c r="D116" s="22" t="s">
        <v>30</v>
      </c>
      <c r="E116" s="22"/>
      <c r="F116" s="22"/>
      <c r="G116" s="22"/>
      <c r="H116" s="22" t="str">
        <f t="shared" si="1"/>
        <v>ALTER TABLE SC_RES.FactOrder ADD paymentSK bigint;</v>
      </c>
      <c r="I116" s="22"/>
      <c r="J116" t="s">
        <v>86</v>
      </c>
      <c r="K116" t="s">
        <v>100</v>
      </c>
      <c r="L116" t="s">
        <v>37</v>
      </c>
      <c r="M116" t="str">
        <f t="shared" si="2"/>
        <v>ALTER TABLE SC_RES.FactOrder ADD CONSTRAINT FK_FactOrder_paymentSK FOREIGN KEY (paymentSK) REFERENCES SC_RES.DimPayment(PaymentSK);</v>
      </c>
    </row>
    <row r="117" spans="1:13" x14ac:dyDescent="0.3">
      <c r="A117" s="37" t="s">
        <v>86</v>
      </c>
      <c r="B117" s="22" t="s">
        <v>162</v>
      </c>
      <c r="C117" s="22" t="s">
        <v>93</v>
      </c>
      <c r="D117" s="22" t="s">
        <v>30</v>
      </c>
      <c r="E117" s="22"/>
      <c r="F117" s="22"/>
      <c r="G117" s="22"/>
      <c r="H117" s="22" t="str">
        <f t="shared" si="1"/>
        <v>ALTER TABLE SC_RES.FactOrder ADD BranchSK bigint;</v>
      </c>
      <c r="I117" s="22"/>
      <c r="J117" t="s">
        <v>26</v>
      </c>
      <c r="K117" t="s">
        <v>94</v>
      </c>
      <c r="L117" t="s">
        <v>93</v>
      </c>
      <c r="M117" t="str">
        <f t="shared" si="2"/>
        <v>ALTER TABLE SC_RES.FactOrder ADD CONSTRAINT FK_FactOrder_BranchSK FOREIGN KEY (BranchSK) REFERENCES Shared.DimBranch(BranchSK);</v>
      </c>
    </row>
    <row r="118" spans="1:13" x14ac:dyDescent="0.3">
      <c r="A118" s="37" t="s">
        <v>86</v>
      </c>
      <c r="B118" s="22" t="s">
        <v>162</v>
      </c>
      <c r="C118" s="22" t="s">
        <v>165</v>
      </c>
      <c r="D118" s="22" t="s">
        <v>30</v>
      </c>
      <c r="E118" s="22"/>
      <c r="F118" s="22"/>
      <c r="G118" s="22"/>
      <c r="H118" s="22" t="str">
        <f t="shared" si="1"/>
        <v>ALTER TABLE SC_RES.FactOrder ADD productSK bigint;</v>
      </c>
      <c r="I118" s="22"/>
      <c r="J118" t="s">
        <v>26</v>
      </c>
      <c r="K118" t="s">
        <v>112</v>
      </c>
      <c r="L118" t="s">
        <v>110</v>
      </c>
      <c r="M118" t="str">
        <f t="shared" si="2"/>
        <v>ALTER TABLE SC_RES.FactOrder ADD CONSTRAINT FK_FactOrder_productSK FOREIGN KEY (productSK) REFERENCES Shared.DimProduct(ProductSK);</v>
      </c>
    </row>
    <row r="119" spans="1:13" x14ac:dyDescent="0.3">
      <c r="A119" s="37" t="s">
        <v>86</v>
      </c>
      <c r="B119" s="22" t="s">
        <v>162</v>
      </c>
      <c r="C119" s="22" t="s">
        <v>337</v>
      </c>
      <c r="D119" s="22" t="s">
        <v>174</v>
      </c>
      <c r="E119" s="22"/>
      <c r="F119" s="22"/>
      <c r="G119" s="22"/>
      <c r="H119" s="22" t="str">
        <f t="shared" si="1"/>
        <v>ALTER TABLE SC_RES.FactOrder ADD Unitcost DECIMAL(10, 2);</v>
      </c>
      <c r="I119" s="22"/>
      <c r="M119" t="str">
        <f t="shared" si="2"/>
        <v/>
      </c>
    </row>
    <row r="120" spans="1:13" x14ac:dyDescent="0.3">
      <c r="A120" s="37" t="s">
        <v>86</v>
      </c>
      <c r="B120" s="22" t="s">
        <v>162</v>
      </c>
      <c r="C120" s="22" t="s">
        <v>166</v>
      </c>
      <c r="D120" s="22" t="s">
        <v>62</v>
      </c>
      <c r="E120" s="22"/>
      <c r="F120" s="22"/>
      <c r="G120" s="22"/>
      <c r="H120" s="22" t="str">
        <f t="shared" si="1"/>
        <v>ALTER TABLE SC_RES.FactOrder ADD paymentdate DATE;</v>
      </c>
      <c r="I120" s="22"/>
      <c r="J120" t="s">
        <v>324</v>
      </c>
      <c r="K120" t="s">
        <v>29</v>
      </c>
      <c r="L120" t="s">
        <v>163</v>
      </c>
      <c r="M120" t="str">
        <f t="shared" si="2"/>
        <v>ALTER TABLE SC_RES.FactOrder ADD CONSTRAINT FK_FactOrder_paymentdate FOREIGN KEY (paymentdate) REFERENCES shared.DimCalendarDate(DateSK);</v>
      </c>
    </row>
    <row r="121" spans="1:13" x14ac:dyDescent="0.3">
      <c r="A121" s="37" t="s">
        <v>86</v>
      </c>
      <c r="B121" s="22" t="s">
        <v>162</v>
      </c>
      <c r="C121" s="22" t="s">
        <v>336</v>
      </c>
      <c r="D121" s="22" t="s">
        <v>175</v>
      </c>
      <c r="E121" s="22"/>
      <c r="F121" s="22"/>
      <c r="G121" s="22"/>
      <c r="H121" s="22" t="str">
        <f t="shared" si="1"/>
        <v>ALTER TABLE SC_RES.FactOrder ADD Productrating        DECIMAL(3,2);</v>
      </c>
      <c r="I121" s="22"/>
    </row>
    <row r="122" spans="1:13" x14ac:dyDescent="0.3">
      <c r="A122" s="37" t="s">
        <v>86</v>
      </c>
      <c r="B122" s="22" t="s">
        <v>162</v>
      </c>
      <c r="C122" s="22" t="s">
        <v>7</v>
      </c>
      <c r="D122" s="22" t="s">
        <v>152</v>
      </c>
      <c r="E122" s="22"/>
      <c r="F122" s="22"/>
      <c r="G122" s="22"/>
      <c r="H122" s="22" t="str">
        <f t="shared" si="1"/>
        <v>ALTER TABLE SC_RES.FactOrder ADD Quantity INT;</v>
      </c>
      <c r="I122" s="22"/>
      <c r="M122" t="str">
        <f t="shared" si="2"/>
        <v/>
      </c>
    </row>
    <row r="123" spans="1:13" x14ac:dyDescent="0.3">
      <c r="A123" s="37" t="s">
        <v>86</v>
      </c>
      <c r="B123" s="22" t="s">
        <v>162</v>
      </c>
      <c r="C123" s="22" t="s">
        <v>168</v>
      </c>
      <c r="D123" s="22" t="s">
        <v>174</v>
      </c>
      <c r="E123" s="22"/>
      <c r="F123" s="22"/>
      <c r="G123" s="22"/>
      <c r="H123" s="22" t="str">
        <f t="shared" si="1"/>
        <v>ALTER TABLE SC_RES.FactOrder ADD unitprice DECIMAL(10, 2);</v>
      </c>
      <c r="I123" s="22"/>
      <c r="M123" t="str">
        <f t="shared" si="2"/>
        <v/>
      </c>
    </row>
    <row r="124" spans="1:13" x14ac:dyDescent="0.3">
      <c r="A124" s="37" t="s">
        <v>86</v>
      </c>
      <c r="B124" s="22" t="s">
        <v>162</v>
      </c>
      <c r="C124" s="22" t="s">
        <v>169</v>
      </c>
      <c r="D124" s="22" t="s">
        <v>176</v>
      </c>
      <c r="E124" s="22"/>
      <c r="F124" s="22"/>
      <c r="G124" s="22"/>
      <c r="H124" s="22" t="str">
        <f t="shared" si="1"/>
        <v>ALTER TABLE SC_RES.FactOrder ADD revenue DECIMAL(12,2);</v>
      </c>
      <c r="I124" s="22"/>
      <c r="M124" t="str">
        <f t="shared" si="2"/>
        <v/>
      </c>
    </row>
    <row r="125" spans="1:13" x14ac:dyDescent="0.3">
      <c r="A125" s="37" t="s">
        <v>86</v>
      </c>
      <c r="B125" s="22" t="s">
        <v>162</v>
      </c>
      <c r="C125" s="22" t="s">
        <v>170</v>
      </c>
      <c r="D125" s="22" t="s">
        <v>176</v>
      </c>
      <c r="E125" s="22"/>
      <c r="F125" s="22"/>
      <c r="G125" s="22"/>
      <c r="H125" s="22" t="str">
        <f t="shared" si="1"/>
        <v>ALTER TABLE SC_RES.FactOrder ADD profit DECIMAL(12,2);</v>
      </c>
      <c r="I125" s="22"/>
      <c r="M125" t="str">
        <f t="shared" si="2"/>
        <v/>
      </c>
    </row>
    <row r="126" spans="1:13" x14ac:dyDescent="0.3">
      <c r="A126" s="37" t="s">
        <v>86</v>
      </c>
      <c r="B126" s="22" t="s">
        <v>162</v>
      </c>
      <c r="C126" s="22" t="s">
        <v>171</v>
      </c>
      <c r="D126" s="22" t="s">
        <v>62</v>
      </c>
      <c r="E126" s="22"/>
      <c r="F126" s="22"/>
      <c r="G126" s="22"/>
      <c r="H126" s="22" t="str">
        <f t="shared" si="1"/>
        <v>ALTER TABLE SC_RES.FactOrder ADD customerRegistrationdate DATE;</v>
      </c>
      <c r="I126" s="22"/>
      <c r="J126" t="s">
        <v>26</v>
      </c>
      <c r="K126" t="s">
        <v>29</v>
      </c>
      <c r="L126" t="s">
        <v>163</v>
      </c>
      <c r="M126" t="str">
        <f t="shared" si="2"/>
        <v>ALTER TABLE SC_RES.FactOrder ADD CONSTRAINT FK_FactOrder_customerRegistrationdate FOREIGN KEY (customerRegistrationdate) REFERENCES Shared.DimCalendarDate(DateSK);</v>
      </c>
    </row>
    <row r="127" spans="1:13" x14ac:dyDescent="0.3">
      <c r="A127" s="37" t="s">
        <v>86</v>
      </c>
      <c r="B127" s="22" t="s">
        <v>162</v>
      </c>
      <c r="C127" s="22" t="s">
        <v>172</v>
      </c>
      <c r="D127" s="22" t="s">
        <v>62</v>
      </c>
      <c r="E127" s="22"/>
      <c r="F127" s="22"/>
      <c r="G127" s="22"/>
      <c r="H127" s="22" t="str">
        <f t="shared" si="1"/>
        <v>ALTER TABLE SC_RES.FactOrder ADD orderdate DATE;</v>
      </c>
      <c r="I127" s="22"/>
      <c r="J127" t="s">
        <v>26</v>
      </c>
      <c r="K127" t="s">
        <v>29</v>
      </c>
      <c r="L127" t="s">
        <v>163</v>
      </c>
      <c r="M127" t="str">
        <f t="shared" si="2"/>
        <v>ALTER TABLE SC_RES.FactOrder ADD CONSTRAINT FK_FactOrder_orderdate FOREIGN KEY (orderdate) REFERENCES Shared.DimCalendarDate(DateSK);</v>
      </c>
    </row>
    <row r="128" spans="1:13" x14ac:dyDescent="0.3">
      <c r="A128" s="37" t="s">
        <v>86</v>
      </c>
      <c r="B128" s="22" t="s">
        <v>162</v>
      </c>
      <c r="C128" s="22" t="s">
        <v>173</v>
      </c>
      <c r="D128" s="22" t="s">
        <v>177</v>
      </c>
      <c r="E128" s="22"/>
      <c r="F128" s="22"/>
      <c r="G128" s="22"/>
      <c r="H128" s="22" t="str">
        <f t="shared" si="1"/>
        <v>ALTER TABLE SC_RES.FactOrder ADD Discount DECIMAL(5,2);</v>
      </c>
      <c r="I128" s="22"/>
      <c r="M128" t="str">
        <f t="shared" si="2"/>
        <v/>
      </c>
    </row>
    <row r="129" spans="1:13" x14ac:dyDescent="0.3">
      <c r="A129" s="37" t="s">
        <v>86</v>
      </c>
      <c r="B129" s="22" t="s">
        <v>162</v>
      </c>
      <c r="C129" s="22" t="s">
        <v>342</v>
      </c>
      <c r="D129" s="22" t="s">
        <v>343</v>
      </c>
      <c r="E129" s="22"/>
      <c r="F129" s="22"/>
      <c r="G129" s="22"/>
      <c r="H129" s="22" t="str">
        <f t="shared" si="1"/>
        <v>ALTER TABLE SC_RES.FactOrder ADD branchtrating  DECIMAL(3,2);</v>
      </c>
      <c r="I129" s="22"/>
    </row>
    <row r="130" spans="1:13" x14ac:dyDescent="0.3">
      <c r="A130" s="10" t="s">
        <v>86</v>
      </c>
      <c r="B130" s="3" t="s">
        <v>32</v>
      </c>
      <c r="C130" s="3" t="s">
        <v>33</v>
      </c>
      <c r="D130" s="3" t="s">
        <v>28</v>
      </c>
      <c r="E130" s="3" t="s">
        <v>247</v>
      </c>
      <c r="F130" s="3"/>
      <c r="G130" s="3"/>
      <c r="H130" s="3" t="str">
        <f t="shared" ref="H130:H202" si="3">IF(E130="y",
 "CREATE TABLE " &amp; A130 &amp; "." &amp; B130 &amp; " (" &amp; C130 &amp; " " &amp; D130 &amp; " IDENTITY(1,1) PRIMARY KEY);",
 "ALTER TABLE " &amp; A130 &amp; "." &amp; B130 &amp; " ADD " &amp; C130 &amp; " " &amp; D130 &amp; ";")</f>
        <v>CREATE TABLE SC_RES.DimEmployee  (EmployeeSK BigInt IDENTITY(1,1) PRIMARY KEY);</v>
      </c>
      <c r="I130" s="3"/>
      <c r="M130" t="str">
        <f t="shared" si="2"/>
        <v/>
      </c>
    </row>
    <row r="131" spans="1:13" x14ac:dyDescent="0.3">
      <c r="A131" s="10" t="s">
        <v>86</v>
      </c>
      <c r="B131" s="3" t="s">
        <v>32</v>
      </c>
      <c r="C131" s="3" t="s">
        <v>35</v>
      </c>
      <c r="D131" s="5" t="s">
        <v>72</v>
      </c>
      <c r="E131" s="3"/>
      <c r="F131" s="3"/>
      <c r="G131" s="3"/>
      <c r="H131" s="3" t="str">
        <f t="shared" si="3"/>
        <v>ALTER TABLE SC_RES.DimEmployee  ADD EmployeeBK VARCHAR(50);</v>
      </c>
      <c r="I131" s="3"/>
      <c r="M131" t="str">
        <f t="shared" si="2"/>
        <v/>
      </c>
    </row>
    <row r="132" spans="1:13" x14ac:dyDescent="0.3">
      <c r="A132" s="10" t="s">
        <v>86</v>
      </c>
      <c r="B132" s="3" t="s">
        <v>32</v>
      </c>
      <c r="C132" s="5" t="s">
        <v>12</v>
      </c>
      <c r="D132" s="5" t="s">
        <v>72</v>
      </c>
      <c r="E132" s="3"/>
      <c r="F132" s="3"/>
      <c r="G132" s="3"/>
      <c r="H132" s="3" t="str">
        <f t="shared" si="3"/>
        <v>ALTER TABLE SC_RES.DimEmployee  ADD NAME VARCHAR(50);</v>
      </c>
      <c r="I132" s="3"/>
      <c r="M132" t="str">
        <f t="shared" si="2"/>
        <v/>
      </c>
    </row>
    <row r="133" spans="1:13" x14ac:dyDescent="0.3">
      <c r="A133" s="10" t="s">
        <v>86</v>
      </c>
      <c r="B133" s="3" t="s">
        <v>32</v>
      </c>
      <c r="C133" s="5" t="s">
        <v>191</v>
      </c>
      <c r="D133" s="5" t="s">
        <v>72</v>
      </c>
      <c r="E133" s="3"/>
      <c r="F133" s="3"/>
      <c r="G133" s="3"/>
      <c r="H133" s="3" t="str">
        <f t="shared" si="3"/>
        <v>ALTER TABLE SC_RES.DimEmployee  ADD ROLE VARCHAR(50);</v>
      </c>
      <c r="I133" s="3"/>
      <c r="M133" t="str">
        <f t="shared" si="2"/>
        <v/>
      </c>
    </row>
    <row r="134" spans="1:13" x14ac:dyDescent="0.3">
      <c r="A134" s="10" t="s">
        <v>86</v>
      </c>
      <c r="B134" s="3" t="s">
        <v>32</v>
      </c>
      <c r="C134" s="5" t="s">
        <v>70</v>
      </c>
      <c r="D134" s="5" t="s">
        <v>13</v>
      </c>
      <c r="E134" s="3"/>
      <c r="F134" s="3"/>
      <c r="G134" s="3"/>
      <c r="H134" s="3" t="str">
        <f t="shared" si="3"/>
        <v>ALTER TABLE SC_RES.DimEmployee  ADD DOB Date;</v>
      </c>
      <c r="I134" s="3"/>
    </row>
    <row r="135" spans="1:13" x14ac:dyDescent="0.3">
      <c r="A135" s="10" t="s">
        <v>86</v>
      </c>
      <c r="B135" s="3" t="s">
        <v>32</v>
      </c>
      <c r="C135" s="5" t="s">
        <v>68</v>
      </c>
      <c r="D135" s="5" t="s">
        <v>72</v>
      </c>
      <c r="E135" s="3"/>
      <c r="F135" s="3"/>
      <c r="G135" s="3"/>
      <c r="H135" s="3" t="str">
        <f t="shared" si="3"/>
        <v>ALTER TABLE SC_RES.DimEmployee  ADD ZIP VARCHAR(50);</v>
      </c>
      <c r="I135" s="3"/>
      <c r="M135" t="str">
        <f t="shared" si="2"/>
        <v/>
      </c>
    </row>
    <row r="136" spans="1:13" x14ac:dyDescent="0.3">
      <c r="A136" s="10" t="s">
        <v>86</v>
      </c>
      <c r="B136" s="3" t="s">
        <v>32</v>
      </c>
      <c r="C136" s="5" t="s">
        <v>192</v>
      </c>
      <c r="D136" s="5" t="s">
        <v>72</v>
      </c>
      <c r="E136" s="3"/>
      <c r="F136" s="3"/>
      <c r="G136" s="3"/>
      <c r="H136" s="3" t="str">
        <f t="shared" si="3"/>
        <v>ALTER TABLE SC_RES.DimEmployee  ADD PHONENUMPER VARCHAR(50);</v>
      </c>
      <c r="I136" s="3"/>
      <c r="M136" t="str">
        <f t="shared" si="2"/>
        <v/>
      </c>
    </row>
    <row r="137" spans="1:13" x14ac:dyDescent="0.3">
      <c r="A137" s="10" t="s">
        <v>86</v>
      </c>
      <c r="B137" s="3" t="s">
        <v>32</v>
      </c>
      <c r="C137" s="5" t="s">
        <v>31</v>
      </c>
      <c r="D137" s="10" t="s">
        <v>84</v>
      </c>
      <c r="E137" s="3"/>
      <c r="F137" s="3"/>
      <c r="G137" s="3" t="s">
        <v>58</v>
      </c>
      <c r="H137" s="3" t="str">
        <f t="shared" si="3"/>
        <v>ALTER TABLE SC_RES.DimEmployee  ADD HashCode NVARCHAR(1000);</v>
      </c>
      <c r="I137" s="3"/>
      <c r="M137" t="str">
        <f t="shared" si="2"/>
        <v/>
      </c>
    </row>
    <row r="138" spans="1:13" x14ac:dyDescent="0.3">
      <c r="A138" s="10" t="s">
        <v>86</v>
      </c>
      <c r="B138" s="3" t="s">
        <v>32</v>
      </c>
      <c r="C138" s="5" t="s">
        <v>75</v>
      </c>
      <c r="D138" s="10" t="s">
        <v>62</v>
      </c>
      <c r="E138" s="3"/>
      <c r="F138" s="3"/>
      <c r="G138" s="3" t="s">
        <v>260</v>
      </c>
      <c r="H138" s="3" t="str">
        <f t="shared" si="3"/>
        <v>ALTER TABLE SC_RES.DimEmployee  ADD LandingDate DATE;</v>
      </c>
      <c r="I138" s="3"/>
      <c r="M138" t="str">
        <f t="shared" si="2"/>
        <v/>
      </c>
    </row>
    <row r="139" spans="1:13" x14ac:dyDescent="0.3">
      <c r="A139" s="10" t="s">
        <v>86</v>
      </c>
      <c r="B139" s="3" t="s">
        <v>32</v>
      </c>
      <c r="C139" s="5" t="s">
        <v>78</v>
      </c>
      <c r="D139" s="10" t="s">
        <v>62</v>
      </c>
      <c r="E139" s="3"/>
      <c r="F139" s="3"/>
      <c r="G139" s="3" t="s">
        <v>272</v>
      </c>
      <c r="H139" s="3" t="str">
        <f t="shared" si="3"/>
        <v>ALTER TABLE SC_RES.DimEmployee  ADD StartDate DATE;</v>
      </c>
      <c r="I139" s="3"/>
      <c r="M139" t="str">
        <f t="shared" si="2"/>
        <v/>
      </c>
    </row>
    <row r="140" spans="1:13" x14ac:dyDescent="0.3">
      <c r="A140" s="10" t="s">
        <v>86</v>
      </c>
      <c r="B140" s="3" t="s">
        <v>32</v>
      </c>
      <c r="C140" s="5" t="s">
        <v>20</v>
      </c>
      <c r="D140" s="10" t="s">
        <v>62</v>
      </c>
      <c r="E140" s="3"/>
      <c r="F140" s="3"/>
      <c r="G140" s="3" t="s">
        <v>262</v>
      </c>
      <c r="H140" s="3" t="str">
        <f t="shared" si="3"/>
        <v>ALTER TABLE SC_RES.DimEmployee  ADD EndDate DATE;</v>
      </c>
      <c r="I140" s="3"/>
      <c r="M140" t="str">
        <f t="shared" si="2"/>
        <v/>
      </c>
    </row>
    <row r="141" spans="1:13" x14ac:dyDescent="0.3">
      <c r="A141" s="10" t="s">
        <v>86</v>
      </c>
      <c r="B141" s="3" t="s">
        <v>32</v>
      </c>
      <c r="C141" s="5" t="s">
        <v>79</v>
      </c>
      <c r="D141" s="10" t="s">
        <v>44</v>
      </c>
      <c r="E141" s="3"/>
      <c r="F141" s="3"/>
      <c r="G141" s="3" t="s">
        <v>263</v>
      </c>
      <c r="H141" s="3" t="str">
        <f t="shared" si="3"/>
        <v>ALTER TABLE SC_RES.DimEmployee  ADD RowStatus varchar(1);</v>
      </c>
      <c r="I141" s="3"/>
      <c r="M141" t="str">
        <f t="shared" si="2"/>
        <v/>
      </c>
    </row>
    <row r="142" spans="1:13" x14ac:dyDescent="0.3">
      <c r="A142" s="10" t="s">
        <v>86</v>
      </c>
      <c r="B142" s="3" t="s">
        <v>32</v>
      </c>
      <c r="C142" s="5" t="s">
        <v>80</v>
      </c>
      <c r="D142" s="10" t="s">
        <v>44</v>
      </c>
      <c r="E142" s="3"/>
      <c r="F142" s="3"/>
      <c r="G142" s="3" t="s">
        <v>273</v>
      </c>
      <c r="H142" s="3" t="str">
        <f t="shared" si="3"/>
        <v>ALTER TABLE SC_RES.DimEmployee  ADD IsLatest varchar(1);</v>
      </c>
      <c r="I142" s="3"/>
      <c r="M142" t="str">
        <f t="shared" si="2"/>
        <v/>
      </c>
    </row>
    <row r="143" spans="1:13" x14ac:dyDescent="0.3">
      <c r="A143" s="45" t="s">
        <v>86</v>
      </c>
      <c r="B143" s="46" t="s">
        <v>202</v>
      </c>
      <c r="C143" s="46" t="s">
        <v>200</v>
      </c>
      <c r="D143" s="50" t="s">
        <v>28</v>
      </c>
      <c r="E143" s="50" t="s">
        <v>247</v>
      </c>
      <c r="F143" s="50"/>
      <c r="G143" s="50"/>
      <c r="H143" s="46" t="str">
        <f t="shared" si="3"/>
        <v>CREATE TABLE SC_RES.DimShift (ShiftSK BigInt IDENTITY(1,1) PRIMARY KEY);</v>
      </c>
      <c r="I143" s="50"/>
      <c r="M143" t="str">
        <f t="shared" si="2"/>
        <v/>
      </c>
    </row>
    <row r="144" spans="1:13" x14ac:dyDescent="0.3">
      <c r="A144" s="45" t="s">
        <v>86</v>
      </c>
      <c r="B144" s="46" t="s">
        <v>202</v>
      </c>
      <c r="C144" s="52" t="s">
        <v>201</v>
      </c>
      <c r="D144" s="50" t="s">
        <v>72</v>
      </c>
      <c r="E144" s="50"/>
      <c r="F144" s="50"/>
      <c r="G144" s="50"/>
      <c r="H144" s="46" t="str">
        <f t="shared" si="3"/>
        <v>ALTER TABLE SC_RES.DimShift ADD SHIFTBK VARCHAR(50);</v>
      </c>
      <c r="I144" s="50"/>
      <c r="M144" t="str">
        <f t="shared" si="2"/>
        <v/>
      </c>
    </row>
    <row r="145" spans="1:13" x14ac:dyDescent="0.3">
      <c r="A145" s="45" t="s">
        <v>86</v>
      </c>
      <c r="B145" s="46" t="s">
        <v>202</v>
      </c>
      <c r="C145" s="52" t="s">
        <v>197</v>
      </c>
      <c r="D145" s="50" t="s">
        <v>72</v>
      </c>
      <c r="E145" s="50"/>
      <c r="F145" s="50"/>
      <c r="G145" s="50"/>
      <c r="H145" s="46" t="str">
        <f t="shared" si="3"/>
        <v>ALTER TABLE SC_RES.DimShift ADD ShiftType VARCHAR(50);</v>
      </c>
      <c r="I145" s="50"/>
      <c r="M145" t="str">
        <f t="shared" si="2"/>
        <v/>
      </c>
    </row>
    <row r="146" spans="1:13" x14ac:dyDescent="0.3">
      <c r="A146" s="45" t="s">
        <v>86</v>
      </c>
      <c r="B146" s="46" t="s">
        <v>202</v>
      </c>
      <c r="C146" s="52" t="s">
        <v>339</v>
      </c>
      <c r="D146" s="50" t="s">
        <v>334</v>
      </c>
      <c r="E146" s="50"/>
      <c r="F146" s="50"/>
      <c r="G146" s="50"/>
      <c r="H146" s="46" t="str">
        <f t="shared" si="3"/>
        <v>ALTER TABLE SC_RES.DimShift ADD STARTTIME int;</v>
      </c>
      <c r="I146" s="50"/>
    </row>
    <row r="147" spans="1:13" x14ac:dyDescent="0.3">
      <c r="A147" s="45" t="s">
        <v>86</v>
      </c>
      <c r="B147" s="46" t="s">
        <v>202</v>
      </c>
      <c r="C147" s="52" t="s">
        <v>340</v>
      </c>
      <c r="D147" s="50" t="s">
        <v>334</v>
      </c>
      <c r="E147" s="50"/>
      <c r="F147" s="50"/>
      <c r="G147" s="50"/>
      <c r="H147" s="46" t="str">
        <f t="shared" si="3"/>
        <v>ALTER TABLE SC_RES.DimShift ADD ENDTIME int;</v>
      </c>
      <c r="I147" s="50"/>
    </row>
    <row r="148" spans="1:13" x14ac:dyDescent="0.3">
      <c r="A148" s="45" t="s">
        <v>86</v>
      </c>
      <c r="B148" s="46" t="s">
        <v>202</v>
      </c>
      <c r="C148" s="50" t="s">
        <v>31</v>
      </c>
      <c r="D148" s="50" t="s">
        <v>84</v>
      </c>
      <c r="E148" s="50"/>
      <c r="F148" s="50"/>
      <c r="G148" s="50" t="s">
        <v>58</v>
      </c>
      <c r="H148" s="46" t="str">
        <f t="shared" si="3"/>
        <v>ALTER TABLE SC_RES.DimShift ADD HashCode NVARCHAR(1000);</v>
      </c>
      <c r="I148" s="50"/>
      <c r="M148" t="str">
        <f t="shared" si="2"/>
        <v/>
      </c>
    </row>
    <row r="149" spans="1:13" x14ac:dyDescent="0.3">
      <c r="A149" s="45" t="s">
        <v>86</v>
      </c>
      <c r="B149" s="46" t="s">
        <v>202</v>
      </c>
      <c r="C149" s="50" t="s">
        <v>75</v>
      </c>
      <c r="D149" s="50" t="s">
        <v>62</v>
      </c>
      <c r="E149" s="50"/>
      <c r="F149" s="50"/>
      <c r="G149" s="50" t="s">
        <v>260</v>
      </c>
      <c r="H149" s="46" t="str">
        <f t="shared" si="3"/>
        <v>ALTER TABLE SC_RES.DimShift ADD LandingDate DATE;</v>
      </c>
      <c r="I149" s="50"/>
      <c r="M149" t="str">
        <f t="shared" si="2"/>
        <v/>
      </c>
    </row>
    <row r="150" spans="1:13" x14ac:dyDescent="0.3">
      <c r="A150" s="45" t="s">
        <v>86</v>
      </c>
      <c r="B150" s="46" t="s">
        <v>202</v>
      </c>
      <c r="C150" s="46" t="s">
        <v>78</v>
      </c>
      <c r="D150" s="50" t="s">
        <v>62</v>
      </c>
      <c r="E150" s="50"/>
      <c r="F150" s="50"/>
      <c r="G150" s="50" t="s">
        <v>272</v>
      </c>
      <c r="H150" s="46" t="str">
        <f t="shared" si="3"/>
        <v>ALTER TABLE SC_RES.DimShift ADD StartDate DATE;</v>
      </c>
      <c r="I150" s="50"/>
      <c r="M150" t="str">
        <f t="shared" si="2"/>
        <v/>
      </c>
    </row>
    <row r="151" spans="1:13" x14ac:dyDescent="0.3">
      <c r="A151" s="45" t="s">
        <v>86</v>
      </c>
      <c r="B151" s="46" t="s">
        <v>202</v>
      </c>
      <c r="C151" s="46" t="s">
        <v>20</v>
      </c>
      <c r="D151" s="50" t="s">
        <v>62</v>
      </c>
      <c r="E151" s="50"/>
      <c r="F151" s="50"/>
      <c r="G151" s="50" t="s">
        <v>262</v>
      </c>
      <c r="H151" s="46" t="str">
        <f t="shared" si="3"/>
        <v>ALTER TABLE SC_RES.DimShift ADD EndDate DATE;</v>
      </c>
      <c r="I151" s="50"/>
      <c r="M151" t="str">
        <f t="shared" si="2"/>
        <v/>
      </c>
    </row>
    <row r="152" spans="1:13" x14ac:dyDescent="0.3">
      <c r="A152" s="45" t="s">
        <v>86</v>
      </c>
      <c r="B152" s="46" t="s">
        <v>202</v>
      </c>
      <c r="C152" s="46" t="s">
        <v>79</v>
      </c>
      <c r="D152" s="50" t="s">
        <v>44</v>
      </c>
      <c r="E152" s="50"/>
      <c r="F152" s="50"/>
      <c r="G152" s="50" t="s">
        <v>263</v>
      </c>
      <c r="H152" s="46" t="str">
        <f t="shared" si="3"/>
        <v>ALTER TABLE SC_RES.DimShift ADD RowStatus varchar(1);</v>
      </c>
      <c r="I152" s="50"/>
      <c r="M152" t="str">
        <f t="shared" si="2"/>
        <v/>
      </c>
    </row>
    <row r="153" spans="1:13" x14ac:dyDescent="0.3">
      <c r="A153" s="45" t="s">
        <v>86</v>
      </c>
      <c r="B153" s="46" t="s">
        <v>202</v>
      </c>
      <c r="C153" s="46" t="s">
        <v>80</v>
      </c>
      <c r="D153" s="50" t="s">
        <v>44</v>
      </c>
      <c r="E153" s="50"/>
      <c r="F153" s="50"/>
      <c r="G153" s="50" t="s">
        <v>273</v>
      </c>
      <c r="H153" s="46" t="str">
        <f t="shared" si="3"/>
        <v>ALTER TABLE SC_RES.DimShift ADD IsLatest varchar(1);</v>
      </c>
      <c r="I153" s="50"/>
      <c r="M153" t="str">
        <f t="shared" si="2"/>
        <v/>
      </c>
    </row>
    <row r="154" spans="1:13" x14ac:dyDescent="0.3">
      <c r="A154" s="42" t="s">
        <v>86</v>
      </c>
      <c r="B154" s="43" t="s">
        <v>209</v>
      </c>
      <c r="C154" s="43" t="s">
        <v>208</v>
      </c>
      <c r="D154" s="42" t="s">
        <v>210</v>
      </c>
      <c r="E154" s="42" t="s">
        <v>247</v>
      </c>
      <c r="F154" s="42"/>
      <c r="G154" s="42"/>
      <c r="H154" s="43" t="str">
        <f t="shared" si="3"/>
        <v>CREATE TABLE SC_RES.DimCause (CauseSK Bigint IDENTITY(1,1) PRIMARY KEY);</v>
      </c>
      <c r="I154" s="42"/>
      <c r="M154" t="str">
        <f t="shared" si="2"/>
        <v/>
      </c>
    </row>
    <row r="155" spans="1:13" x14ac:dyDescent="0.3">
      <c r="A155" s="42" t="s">
        <v>86</v>
      </c>
      <c r="B155" s="43" t="s">
        <v>209</v>
      </c>
      <c r="C155" s="43" t="s">
        <v>207</v>
      </c>
      <c r="D155" s="43" t="s">
        <v>72</v>
      </c>
      <c r="E155" s="42"/>
      <c r="F155" s="42"/>
      <c r="G155" s="42"/>
      <c r="H155" s="43" t="str">
        <f t="shared" si="3"/>
        <v>ALTER TABLE SC_RES.DimCause ADD CauseBK VARCHAR(50);</v>
      </c>
      <c r="I155" s="42"/>
      <c r="M155" t="str">
        <f t="shared" si="2"/>
        <v/>
      </c>
    </row>
    <row r="156" spans="1:13" x14ac:dyDescent="0.3">
      <c r="A156" s="42" t="s">
        <v>86</v>
      </c>
      <c r="B156" s="43" t="s">
        <v>209</v>
      </c>
      <c r="C156" s="43" t="s">
        <v>106</v>
      </c>
      <c r="D156" s="43" t="s">
        <v>72</v>
      </c>
      <c r="E156" s="42"/>
      <c r="F156" s="42"/>
      <c r="G156" s="42"/>
      <c r="H156" s="43" t="str">
        <f t="shared" si="3"/>
        <v>ALTER TABLE SC_RES.DimCause ADD description VARCHAR(50);</v>
      </c>
      <c r="I156" s="42"/>
      <c r="M156" t="str">
        <f t="shared" si="2"/>
        <v/>
      </c>
    </row>
    <row r="157" spans="1:13" x14ac:dyDescent="0.3">
      <c r="A157" s="42" t="s">
        <v>86</v>
      </c>
      <c r="B157" s="43" t="s">
        <v>209</v>
      </c>
      <c r="C157" s="43" t="s">
        <v>204</v>
      </c>
      <c r="D157" s="43" t="s">
        <v>72</v>
      </c>
      <c r="E157" s="42"/>
      <c r="F157" s="42"/>
      <c r="G157" s="42"/>
      <c r="H157" s="43" t="str">
        <f t="shared" si="3"/>
        <v>ALTER TABLE SC_RES.DimCause ADD Causename VARCHAR(50);</v>
      </c>
      <c r="I157" s="42"/>
      <c r="M157" t="str">
        <f t="shared" si="2"/>
        <v/>
      </c>
    </row>
    <row r="158" spans="1:13" x14ac:dyDescent="0.3">
      <c r="A158" s="42" t="s">
        <v>86</v>
      </c>
      <c r="B158" s="43" t="s">
        <v>209</v>
      </c>
      <c r="C158" s="43" t="s">
        <v>31</v>
      </c>
      <c r="D158" s="42" t="s">
        <v>84</v>
      </c>
      <c r="E158" s="42"/>
      <c r="F158" s="42"/>
      <c r="G158" s="42" t="s">
        <v>58</v>
      </c>
      <c r="H158" s="43" t="str">
        <f t="shared" si="3"/>
        <v>ALTER TABLE SC_RES.DimCause ADD HashCode NVARCHAR(1000);</v>
      </c>
      <c r="I158" s="42"/>
      <c r="M158" t="str">
        <f t="shared" si="2"/>
        <v/>
      </c>
    </row>
    <row r="159" spans="1:13" x14ac:dyDescent="0.3">
      <c r="A159" s="42" t="s">
        <v>86</v>
      </c>
      <c r="B159" s="43" t="s">
        <v>209</v>
      </c>
      <c r="C159" s="43" t="s">
        <v>75</v>
      </c>
      <c r="D159" s="42" t="s">
        <v>62</v>
      </c>
      <c r="E159" s="42"/>
      <c r="F159" s="42"/>
      <c r="G159" s="42" t="s">
        <v>260</v>
      </c>
      <c r="H159" s="43" t="str">
        <f t="shared" si="3"/>
        <v>ALTER TABLE SC_RES.DimCause ADD LandingDate DATE;</v>
      </c>
      <c r="I159" s="42"/>
      <c r="M159" t="str">
        <f t="shared" si="2"/>
        <v/>
      </c>
    </row>
    <row r="160" spans="1:13" x14ac:dyDescent="0.3">
      <c r="A160" s="42" t="s">
        <v>86</v>
      </c>
      <c r="B160" s="43" t="s">
        <v>209</v>
      </c>
      <c r="C160" s="43" t="s">
        <v>78</v>
      </c>
      <c r="D160" s="42" t="s">
        <v>62</v>
      </c>
      <c r="E160" s="42"/>
      <c r="F160" s="42"/>
      <c r="G160" s="42" t="s">
        <v>272</v>
      </c>
      <c r="H160" s="43" t="str">
        <f t="shared" si="3"/>
        <v>ALTER TABLE SC_RES.DimCause ADD StartDate DATE;</v>
      </c>
      <c r="I160" s="42"/>
      <c r="M160" t="str">
        <f t="shared" si="2"/>
        <v/>
      </c>
    </row>
    <row r="161" spans="1:41" x14ac:dyDescent="0.3">
      <c r="A161" s="42" t="s">
        <v>86</v>
      </c>
      <c r="B161" s="43" t="s">
        <v>209</v>
      </c>
      <c r="C161" s="43" t="s">
        <v>20</v>
      </c>
      <c r="D161" s="42" t="s">
        <v>62</v>
      </c>
      <c r="E161" s="42"/>
      <c r="F161" s="42"/>
      <c r="G161" s="42" t="s">
        <v>262</v>
      </c>
      <c r="H161" s="43" t="str">
        <f t="shared" si="3"/>
        <v>ALTER TABLE SC_RES.DimCause ADD EndDate DATE;</v>
      </c>
      <c r="I161" s="42"/>
      <c r="M161" t="str">
        <f t="shared" si="2"/>
        <v/>
      </c>
    </row>
    <row r="162" spans="1:41" x14ac:dyDescent="0.3">
      <c r="A162" s="42" t="s">
        <v>86</v>
      </c>
      <c r="B162" s="43" t="s">
        <v>209</v>
      </c>
      <c r="C162" s="43" t="s">
        <v>79</v>
      </c>
      <c r="D162" s="42" t="s">
        <v>44</v>
      </c>
      <c r="E162" s="42"/>
      <c r="F162" s="42"/>
      <c r="G162" s="42" t="s">
        <v>263</v>
      </c>
      <c r="H162" s="43" t="str">
        <f t="shared" si="3"/>
        <v>ALTER TABLE SC_RES.DimCause ADD RowStatus varchar(1);</v>
      </c>
      <c r="I162" s="42"/>
      <c r="M162" t="str">
        <f t="shared" si="2"/>
        <v/>
      </c>
    </row>
    <row r="163" spans="1:41" x14ac:dyDescent="0.3">
      <c r="A163" s="42" t="s">
        <v>86</v>
      </c>
      <c r="B163" s="43" t="s">
        <v>209</v>
      </c>
      <c r="C163" s="43" t="s">
        <v>80</v>
      </c>
      <c r="D163" s="42" t="s">
        <v>44</v>
      </c>
      <c r="E163" s="42"/>
      <c r="F163" s="42"/>
      <c r="G163" s="42" t="s">
        <v>273</v>
      </c>
      <c r="H163" s="43" t="str">
        <f t="shared" si="3"/>
        <v>ALTER TABLE SC_RES.DimCause ADD IsLatest varchar(1);</v>
      </c>
      <c r="I163" s="42"/>
      <c r="M163" t="str">
        <f t="shared" si="2"/>
        <v/>
      </c>
    </row>
    <row r="164" spans="1:41" s="103" customFormat="1" x14ac:dyDescent="0.3">
      <c r="A164" s="102" t="s">
        <v>86</v>
      </c>
      <c r="B164" s="101" t="s">
        <v>327</v>
      </c>
      <c r="C164" s="101" t="s">
        <v>329</v>
      </c>
      <c r="D164" s="101" t="s">
        <v>210</v>
      </c>
      <c r="E164" s="101" t="s">
        <v>247</v>
      </c>
      <c r="F164" s="101"/>
      <c r="G164" s="101"/>
      <c r="H164" s="102" t="str">
        <f t="shared" si="3"/>
        <v>CREATE TABLE SC_RES.DimAttendance (AttendanceSK Bigint IDENTITY(1,1) PRIMARY KEY);</v>
      </c>
      <c r="I164" s="101"/>
      <c r="J164"/>
      <c r="K164"/>
      <c r="L164"/>
      <c r="M164" t="str">
        <f t="shared" si="2"/>
        <v/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</row>
    <row r="165" spans="1:41" s="103" customFormat="1" x14ac:dyDescent="0.3">
      <c r="A165" s="102" t="s">
        <v>86</v>
      </c>
      <c r="B165" s="101" t="s">
        <v>327</v>
      </c>
      <c r="C165" s="101" t="s">
        <v>213</v>
      </c>
      <c r="D165" s="101" t="s">
        <v>210</v>
      </c>
      <c r="E165" s="101"/>
      <c r="F165" s="101"/>
      <c r="G165" s="101"/>
      <c r="H165" s="102" t="str">
        <f t="shared" si="3"/>
        <v>ALTER TABLE SC_RES.DimAttendance ADD causeSK Bigint;</v>
      </c>
      <c r="I165" s="101"/>
      <c r="J165" t="s">
        <v>86</v>
      </c>
      <c r="K165" t="s">
        <v>346</v>
      </c>
      <c r="L165" t="s">
        <v>213</v>
      </c>
      <c r="M165" t="str">
        <f t="shared" si="2"/>
        <v>ALTER TABLE SC_RES.DimAttendance ADD CONSTRAINT FK_DimAttendance_causeSK FOREIGN KEY (causeSK) REFERENCES SC_RES.Dimcause(causeSK);</v>
      </c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</row>
    <row r="166" spans="1:41" s="103" customFormat="1" x14ac:dyDescent="0.3">
      <c r="A166" s="102" t="s">
        <v>86</v>
      </c>
      <c r="B166" s="101" t="s">
        <v>327</v>
      </c>
      <c r="C166" s="101" t="s">
        <v>330</v>
      </c>
      <c r="D166" s="101" t="s">
        <v>72</v>
      </c>
      <c r="E166" s="101"/>
      <c r="F166" s="101"/>
      <c r="G166" s="101"/>
      <c r="H166" s="102" t="str">
        <f t="shared" si="3"/>
        <v>ALTER TABLE SC_RES.DimAttendance ADD AttendanceBK VARCHAR(50);</v>
      </c>
      <c r="I166" s="101"/>
      <c r="J166"/>
      <c r="K166"/>
      <c r="L166"/>
      <c r="M166" t="str">
        <f t="shared" si="2"/>
        <v/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</row>
    <row r="167" spans="1:41" s="103" customFormat="1" x14ac:dyDescent="0.3">
      <c r="A167" s="102" t="s">
        <v>86</v>
      </c>
      <c r="B167" s="101" t="s">
        <v>327</v>
      </c>
      <c r="C167" s="101" t="s">
        <v>9</v>
      </c>
      <c r="D167" s="101" t="s">
        <v>72</v>
      </c>
      <c r="E167" s="101"/>
      <c r="F167" s="101"/>
      <c r="G167" s="101"/>
      <c r="H167" s="102" t="str">
        <f t="shared" si="3"/>
        <v>ALTER TABLE SC_RES.DimAttendance ADD Status VARCHAR(50);</v>
      </c>
      <c r="I167" s="101"/>
      <c r="J167"/>
      <c r="K167"/>
      <c r="L167"/>
      <c r="M167" t="str">
        <f t="shared" si="2"/>
        <v/>
      </c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</row>
    <row r="168" spans="1:41" s="103" customFormat="1" x14ac:dyDescent="0.3">
      <c r="A168" s="102" t="s">
        <v>86</v>
      </c>
      <c r="B168" s="101" t="s">
        <v>327</v>
      </c>
      <c r="C168" s="101" t="s">
        <v>31</v>
      </c>
      <c r="D168" s="101" t="s">
        <v>84</v>
      </c>
      <c r="E168" s="101"/>
      <c r="F168" s="101"/>
      <c r="G168" s="101"/>
      <c r="H168" s="102" t="str">
        <f t="shared" si="3"/>
        <v>ALTER TABLE SC_RES.DimAttendance ADD HashCode NVARCHAR(1000);</v>
      </c>
      <c r="I168" s="101"/>
      <c r="J168"/>
      <c r="K168"/>
      <c r="L168"/>
      <c r="M168" t="str">
        <f t="shared" si="2"/>
        <v/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</row>
    <row r="169" spans="1:41" s="103" customFormat="1" x14ac:dyDescent="0.3">
      <c r="A169" s="102" t="s">
        <v>86</v>
      </c>
      <c r="B169" s="101" t="s">
        <v>327</v>
      </c>
      <c r="C169" s="101" t="s">
        <v>75</v>
      </c>
      <c r="D169" s="101" t="s">
        <v>62</v>
      </c>
      <c r="E169" s="101"/>
      <c r="F169" s="101"/>
      <c r="G169" s="101"/>
      <c r="H169" s="102" t="str">
        <f t="shared" si="3"/>
        <v>ALTER TABLE SC_RES.DimAttendance ADD LandingDate DATE;</v>
      </c>
      <c r="I169" s="101"/>
      <c r="J169"/>
      <c r="K169"/>
      <c r="L169"/>
      <c r="M169" t="str">
        <f t="shared" si="2"/>
        <v/>
      </c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</row>
    <row r="170" spans="1:41" s="103" customFormat="1" x14ac:dyDescent="0.3">
      <c r="A170" s="102" t="s">
        <v>86</v>
      </c>
      <c r="B170" s="101" t="s">
        <v>327</v>
      </c>
      <c r="C170" s="101" t="s">
        <v>78</v>
      </c>
      <c r="D170" s="101" t="s">
        <v>62</v>
      </c>
      <c r="E170" s="101"/>
      <c r="F170" s="101"/>
      <c r="G170" s="101"/>
      <c r="H170" s="102" t="str">
        <f t="shared" si="3"/>
        <v>ALTER TABLE SC_RES.DimAttendance ADD StartDate DATE;</v>
      </c>
      <c r="I170" s="101"/>
      <c r="J170"/>
      <c r="K170"/>
      <c r="L170"/>
      <c r="M170" t="str">
        <f t="shared" si="2"/>
        <v/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</row>
    <row r="171" spans="1:41" s="103" customFormat="1" x14ac:dyDescent="0.3">
      <c r="A171" s="102" t="s">
        <v>86</v>
      </c>
      <c r="B171" s="101" t="s">
        <v>327</v>
      </c>
      <c r="C171" s="101" t="s">
        <v>20</v>
      </c>
      <c r="D171" s="101" t="s">
        <v>62</v>
      </c>
      <c r="E171" s="101"/>
      <c r="F171" s="101"/>
      <c r="G171" s="101"/>
      <c r="H171" s="102" t="str">
        <f t="shared" si="3"/>
        <v>ALTER TABLE SC_RES.DimAttendance ADD EndDate DATE;</v>
      </c>
      <c r="I171" s="101"/>
      <c r="J171"/>
      <c r="K171"/>
      <c r="L171"/>
      <c r="M171" t="str">
        <f t="shared" si="2"/>
        <v/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</row>
    <row r="172" spans="1:41" s="103" customFormat="1" x14ac:dyDescent="0.3">
      <c r="A172" s="102" t="s">
        <v>86</v>
      </c>
      <c r="B172" s="101" t="s">
        <v>327</v>
      </c>
      <c r="C172" s="101" t="s">
        <v>79</v>
      </c>
      <c r="D172" s="101" t="s">
        <v>44</v>
      </c>
      <c r="E172" s="101"/>
      <c r="F172" s="101"/>
      <c r="G172" s="101"/>
      <c r="H172" s="102" t="str">
        <f t="shared" si="3"/>
        <v>ALTER TABLE SC_RES.DimAttendance ADD RowStatus varchar(1);</v>
      </c>
      <c r="I172" s="101"/>
      <c r="J172"/>
      <c r="K172"/>
      <c r="L172"/>
      <c r="M172" t="str">
        <f t="shared" si="2"/>
        <v/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</row>
    <row r="173" spans="1:41" s="103" customFormat="1" x14ac:dyDescent="0.3">
      <c r="A173" s="102" t="s">
        <v>86</v>
      </c>
      <c r="B173" s="101" t="s">
        <v>327</v>
      </c>
      <c r="C173" s="101" t="s">
        <v>80</v>
      </c>
      <c r="D173" s="101" t="s">
        <v>44</v>
      </c>
      <c r="E173" s="101"/>
      <c r="F173" s="101"/>
      <c r="G173" s="101"/>
      <c r="H173" s="102" t="str">
        <f t="shared" si="3"/>
        <v>ALTER TABLE SC_RES.DimAttendance ADD IsLatest varchar(1);</v>
      </c>
      <c r="I173" s="101"/>
      <c r="J173"/>
      <c r="K173"/>
      <c r="L173"/>
      <c r="M173" t="str">
        <f t="shared" si="2"/>
        <v/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</row>
    <row r="174" spans="1:41" x14ac:dyDescent="0.3">
      <c r="A174" s="53" t="s">
        <v>86</v>
      </c>
      <c r="B174" s="54" t="s">
        <v>220</v>
      </c>
      <c r="C174" s="54" t="s">
        <v>211</v>
      </c>
      <c r="D174" s="54" t="s">
        <v>210</v>
      </c>
      <c r="E174" s="54" t="s">
        <v>247</v>
      </c>
      <c r="F174" s="54"/>
      <c r="G174" s="54"/>
      <c r="H174" s="54" t="str">
        <f t="shared" si="3"/>
        <v>CREATE TABLE SC_RES.FactPayroll (PayrollSK Bigint IDENTITY(1,1) PRIMARY KEY);</v>
      </c>
      <c r="I174" s="54"/>
      <c r="M174" t="str">
        <f t="shared" si="2"/>
        <v/>
      </c>
    </row>
    <row r="175" spans="1:41" x14ac:dyDescent="0.3">
      <c r="A175" s="53" t="s">
        <v>86</v>
      </c>
      <c r="B175" s="54" t="s">
        <v>220</v>
      </c>
      <c r="C175" s="54" t="s">
        <v>163</v>
      </c>
      <c r="D175" s="54" t="s">
        <v>210</v>
      </c>
      <c r="E175" s="54"/>
      <c r="F175" s="54"/>
      <c r="G175" s="54"/>
      <c r="H175" s="54" t="str">
        <f t="shared" si="3"/>
        <v>ALTER TABLE SC_RES.FactPayroll ADD DateSK Bigint;</v>
      </c>
      <c r="I175" s="54"/>
      <c r="J175" t="s">
        <v>26</v>
      </c>
      <c r="K175" t="s">
        <v>29</v>
      </c>
      <c r="L175" t="s">
        <v>163</v>
      </c>
      <c r="M175" t="str">
        <f t="shared" si="2"/>
        <v>ALTER TABLE SC_RES.FactPayroll ADD CONSTRAINT FK_FactPayroll_DateSK FOREIGN KEY (DateSK) REFERENCES Shared.DimCalendarDate(DateSK);</v>
      </c>
    </row>
    <row r="176" spans="1:41" x14ac:dyDescent="0.3">
      <c r="A176" s="53" t="s">
        <v>86</v>
      </c>
      <c r="B176" s="54" t="s">
        <v>220</v>
      </c>
      <c r="C176" s="54" t="s">
        <v>200</v>
      </c>
      <c r="D176" s="54" t="s">
        <v>210</v>
      </c>
      <c r="E176" s="54"/>
      <c r="F176" s="54"/>
      <c r="G176" s="54"/>
      <c r="H176" s="54" t="str">
        <f t="shared" si="3"/>
        <v>ALTER TABLE SC_RES.FactPayroll ADD ShiftSK Bigint;</v>
      </c>
      <c r="I176" s="54"/>
      <c r="J176" t="s">
        <v>86</v>
      </c>
      <c r="K176" t="s">
        <v>202</v>
      </c>
      <c r="L176" t="s">
        <v>341</v>
      </c>
      <c r="M176" t="str">
        <f t="shared" si="2"/>
        <v>ALTER TABLE SC_RES.FactPayroll ADD CONSTRAINT FK_FactPayroll_ShiftSK FOREIGN KEY (ShiftSK) REFERENCES SC_RES.DimShift(shiftSK);</v>
      </c>
    </row>
    <row r="177" spans="1:13" x14ac:dyDescent="0.3">
      <c r="A177" s="53" t="s">
        <v>86</v>
      </c>
      <c r="B177" s="54" t="s">
        <v>220</v>
      </c>
      <c r="C177" s="54" t="s">
        <v>212</v>
      </c>
      <c r="D177" s="54" t="s">
        <v>210</v>
      </c>
      <c r="E177" s="54"/>
      <c r="F177" s="54"/>
      <c r="G177" s="54"/>
      <c r="H177" s="54" t="str">
        <f t="shared" si="3"/>
        <v>ALTER TABLE SC_RES.FactPayroll ADD employeeSK Bigint;</v>
      </c>
      <c r="I177" s="54"/>
      <c r="J177" t="s">
        <v>86</v>
      </c>
      <c r="K177" t="s">
        <v>325</v>
      </c>
      <c r="L177" t="s">
        <v>200</v>
      </c>
      <c r="M177" t="str">
        <f t="shared" si="2"/>
        <v>ALTER TABLE SC_RES.FactPayroll ADD CONSTRAINT FK_FactPayroll_employeeSK FOREIGN KEY (employeeSK) REFERENCES SC_RES.DimEmployee(ShiftSK);</v>
      </c>
    </row>
    <row r="178" spans="1:13" x14ac:dyDescent="0.3">
      <c r="A178" s="53" t="s">
        <v>86</v>
      </c>
      <c r="B178" s="54" t="s">
        <v>220</v>
      </c>
      <c r="C178" s="54" t="s">
        <v>329</v>
      </c>
      <c r="D178" s="54" t="s">
        <v>210</v>
      </c>
      <c r="E178" s="54"/>
      <c r="F178" s="54"/>
      <c r="G178" s="54"/>
      <c r="H178" s="54" t="str">
        <f t="shared" si="3"/>
        <v>ALTER TABLE SC_RES.FactPayroll ADD AttendanceSK Bigint;</v>
      </c>
      <c r="I178" s="54"/>
      <c r="J178" t="s">
        <v>86</v>
      </c>
      <c r="K178" t="s">
        <v>347</v>
      </c>
      <c r="L178" t="s">
        <v>329</v>
      </c>
      <c r="M178" t="str">
        <f t="shared" si="2"/>
        <v>ALTER TABLE SC_RES.FactPayroll ADD CONSTRAINT FK_FactPayroll_AttendanceSK FOREIGN KEY (AttendanceSK) REFERENCES SC_RES.DinAttendance(AttendanceSK);</v>
      </c>
    </row>
    <row r="179" spans="1:13" x14ac:dyDescent="0.3">
      <c r="A179" s="53" t="s">
        <v>86</v>
      </c>
      <c r="B179" s="54" t="s">
        <v>220</v>
      </c>
      <c r="C179" s="54" t="s">
        <v>214</v>
      </c>
      <c r="D179" s="54" t="s">
        <v>13</v>
      </c>
      <c r="E179" s="54"/>
      <c r="F179" s="54"/>
      <c r="G179" s="54"/>
      <c r="H179" s="54" t="str">
        <f t="shared" si="3"/>
        <v>ALTER TABLE SC_RES.FactPayroll ADD         Hyring_date Date;</v>
      </c>
      <c r="I179" s="54"/>
      <c r="J179" t="s">
        <v>26</v>
      </c>
      <c r="K179" t="s">
        <v>29</v>
      </c>
      <c r="L179" t="s">
        <v>163</v>
      </c>
      <c r="M179" t="str">
        <f t="shared" si="2"/>
        <v>ALTER TABLE SC_RES.FactPayroll ADD CONSTRAINT FK_FactPayroll_        Hyring_date FOREIGN KEY (        Hyring_date) REFERENCES Shared.DimCalendarDate(DateSK);</v>
      </c>
    </row>
    <row r="180" spans="1:13" x14ac:dyDescent="0.3">
      <c r="A180" s="53" t="s">
        <v>86</v>
      </c>
      <c r="B180" s="54" t="s">
        <v>220</v>
      </c>
      <c r="C180" s="54" t="s">
        <v>215</v>
      </c>
      <c r="D180" s="54" t="s">
        <v>219</v>
      </c>
      <c r="E180" s="54"/>
      <c r="F180" s="54"/>
      <c r="G180" s="54"/>
      <c r="H180" s="54" t="str">
        <f t="shared" si="3"/>
        <v>ALTER TABLE SC_RES.FactPayroll ADD Salary DECIMAL(10,2);</v>
      </c>
      <c r="I180" s="54"/>
      <c r="M180" t="str">
        <f t="shared" si="2"/>
        <v/>
      </c>
    </row>
    <row r="181" spans="1:13" x14ac:dyDescent="0.3">
      <c r="A181" s="53" t="s">
        <v>86</v>
      </c>
      <c r="B181" s="54" t="s">
        <v>220</v>
      </c>
      <c r="C181" s="54" t="s">
        <v>216</v>
      </c>
      <c r="D181" s="54" t="s">
        <v>219</v>
      </c>
      <c r="E181" s="54"/>
      <c r="F181" s="54"/>
      <c r="G181" s="54"/>
      <c r="H181" s="54" t="str">
        <f t="shared" si="3"/>
        <v>ALTER TABLE SC_RES.FactPayroll ADD bouns DECIMAL(10,2);</v>
      </c>
      <c r="I181" s="54"/>
      <c r="M181" t="str">
        <f t="shared" si="2"/>
        <v/>
      </c>
    </row>
    <row r="182" spans="1:13" x14ac:dyDescent="0.3">
      <c r="A182" s="53" t="s">
        <v>86</v>
      </c>
      <c r="B182" s="54" t="s">
        <v>220</v>
      </c>
      <c r="C182" s="54" t="s">
        <v>217</v>
      </c>
      <c r="D182" s="54" t="s">
        <v>219</v>
      </c>
      <c r="E182" s="54"/>
      <c r="F182" s="54"/>
      <c r="G182" s="54"/>
      <c r="H182" s="54" t="str">
        <f t="shared" si="3"/>
        <v>ALTER TABLE SC_RES.FactPayroll ADD deductions DECIMAL(10,2);</v>
      </c>
      <c r="I182" s="54"/>
      <c r="M182" t="str">
        <f t="shared" si="2"/>
        <v/>
      </c>
    </row>
    <row r="183" spans="1:13" x14ac:dyDescent="0.3">
      <c r="A183" s="53" t="s">
        <v>86</v>
      </c>
      <c r="B183" s="54" t="s">
        <v>220</v>
      </c>
      <c r="C183" s="54" t="s">
        <v>221</v>
      </c>
      <c r="D183" s="54" t="s">
        <v>176</v>
      </c>
      <c r="E183" s="54"/>
      <c r="F183" s="54"/>
      <c r="G183" s="54"/>
      <c r="H183" s="54" t="str">
        <f t="shared" si="3"/>
        <v>ALTER TABLE SC_RES.FactPayroll ADD salaryAmount DECIMAL(12,2);</v>
      </c>
      <c r="I183" s="54"/>
      <c r="M183" t="str">
        <f t="shared" si="2"/>
        <v/>
      </c>
    </row>
    <row r="184" spans="1:13" x14ac:dyDescent="0.3">
      <c r="A184" s="53" t="s">
        <v>86</v>
      </c>
      <c r="B184" s="54" t="s">
        <v>220</v>
      </c>
      <c r="C184" s="54" t="s">
        <v>335</v>
      </c>
      <c r="D184" s="54" t="s">
        <v>152</v>
      </c>
      <c r="E184" s="54"/>
      <c r="F184" s="54"/>
      <c r="G184" s="54"/>
      <c r="H184" s="54" t="str">
        <f t="shared" si="3"/>
        <v>ALTER TABLE SC_RES.FactPayroll ADD HoursWorked INT;</v>
      </c>
      <c r="I184" s="54"/>
      <c r="M184" t="str">
        <f t="shared" si="2"/>
        <v/>
      </c>
    </row>
    <row r="185" spans="1:13" x14ac:dyDescent="0.3">
      <c r="A185" s="53" t="s">
        <v>86</v>
      </c>
      <c r="B185" s="54" t="s">
        <v>220</v>
      </c>
      <c r="C185" s="54" t="s">
        <v>338</v>
      </c>
      <c r="D185" s="54" t="s">
        <v>152</v>
      </c>
      <c r="E185" s="54"/>
      <c r="F185" s="54"/>
      <c r="G185" s="54"/>
      <c r="H185" s="54" t="str">
        <f t="shared" si="3"/>
        <v>ALTER TABLE SC_RES.FactPayroll ADD Overtime INT;</v>
      </c>
      <c r="I185" s="54"/>
    </row>
    <row r="186" spans="1:13" x14ac:dyDescent="0.3">
      <c r="A186" s="31" t="s">
        <v>86</v>
      </c>
      <c r="B186" s="16" t="s">
        <v>234</v>
      </c>
      <c r="C186" s="16" t="s">
        <v>223</v>
      </c>
      <c r="D186" s="16" t="s">
        <v>30</v>
      </c>
      <c r="E186" s="16" t="s">
        <v>247</v>
      </c>
      <c r="F186" s="16"/>
      <c r="G186" s="16"/>
      <c r="H186" s="16" t="str">
        <f t="shared" si="3"/>
        <v>CREATE TABLE SC_RES.FactWaste (WASTESK bigint IDENTITY(1,1) PRIMARY KEY);</v>
      </c>
      <c r="I186" s="16"/>
      <c r="M186" t="str">
        <f t="shared" ref="M186:M187" si="4">IF(OR(A186="",B186="",C186="",J186="",K186="",L186=""),"",
"ALTER TABLE " &amp; A186 &amp; "." &amp; B186 &amp;
" ADD CONSTRAINT FK_" &amp; B186 &amp; "_" &amp; C186 &amp;
" FOREIGN KEY (" &amp; C186 &amp; ") REFERENCES " &amp;
J186 &amp; "." &amp; K186 &amp; "(" &amp; L186 &amp; ");")</f>
        <v/>
      </c>
    </row>
    <row r="187" spans="1:13" x14ac:dyDescent="0.3">
      <c r="A187" s="31" t="s">
        <v>86</v>
      </c>
      <c r="B187" s="16" t="s">
        <v>234</v>
      </c>
      <c r="C187" s="16" t="s">
        <v>93</v>
      </c>
      <c r="D187" s="16" t="s">
        <v>30</v>
      </c>
      <c r="E187" s="16"/>
      <c r="F187" s="16"/>
      <c r="G187" s="16"/>
      <c r="H187" s="16" t="str">
        <f t="shared" si="3"/>
        <v>ALTER TABLE SC_RES.FactWaste ADD BranchSK bigint;</v>
      </c>
      <c r="I187" s="16"/>
      <c r="J187" t="s">
        <v>26</v>
      </c>
      <c r="K187" t="s">
        <v>94</v>
      </c>
      <c r="L187" t="s">
        <v>93</v>
      </c>
      <c r="M187" t="str">
        <f t="shared" si="4"/>
        <v>ALTER TABLE SC_RES.FactWaste ADD CONSTRAINT FK_FactWaste_BranchSK FOREIGN KEY (BranchSK) REFERENCES Shared.DimBranch(BranchSK);</v>
      </c>
    </row>
    <row r="188" spans="1:13" x14ac:dyDescent="0.3">
      <c r="A188" s="31" t="s">
        <v>86</v>
      </c>
      <c r="B188" s="16" t="s">
        <v>234</v>
      </c>
      <c r="C188" s="16" t="s">
        <v>224</v>
      </c>
      <c r="D188" s="16" t="s">
        <v>30</v>
      </c>
      <c r="E188" s="16"/>
      <c r="F188" s="16"/>
      <c r="G188" s="16"/>
      <c r="H188" s="16" t="str">
        <f t="shared" si="3"/>
        <v>ALTER TABLE SC_RES.FactWaste ADD porductSK bigint;</v>
      </c>
      <c r="I188" s="16"/>
      <c r="J188" t="s">
        <v>26</v>
      </c>
      <c r="K188" t="s">
        <v>112</v>
      </c>
      <c r="L188" t="s">
        <v>110</v>
      </c>
      <c r="M188" t="str">
        <f t="shared" ref="M188:M217" si="5">IF(OR(A188="",B188="",C188="",J188="",K188="",L188=""),"",
"ALTER TABLE " &amp; A188 &amp; "." &amp; B188 &amp;
" ADD CONSTRAINT FK_" &amp; B188 &amp; "_" &amp; C188 &amp;
" FOREIGN KEY (" &amp; C188 &amp; ") REFERENCES " &amp;
J188 &amp; "." &amp; K188 &amp; "(" &amp; L188 &amp; ");")</f>
        <v>ALTER TABLE SC_RES.FactWaste ADD CONSTRAINT FK_FactWaste_porductSK FOREIGN KEY (porductSK) REFERENCES Shared.DimProduct(ProductSK);</v>
      </c>
    </row>
    <row r="189" spans="1:13" x14ac:dyDescent="0.3">
      <c r="A189" s="31" t="s">
        <v>86</v>
      </c>
      <c r="B189" s="16" t="s">
        <v>234</v>
      </c>
      <c r="C189" s="16" t="s">
        <v>163</v>
      </c>
      <c r="D189" s="16" t="s">
        <v>30</v>
      </c>
      <c r="E189" s="16"/>
      <c r="F189" s="16"/>
      <c r="G189" s="16"/>
      <c r="H189" s="16" t="str">
        <f t="shared" si="3"/>
        <v>ALTER TABLE SC_RES.FactWaste ADD DateSK bigint;</v>
      </c>
      <c r="I189" s="16"/>
      <c r="J189" t="s">
        <v>26</v>
      </c>
      <c r="K189" t="s">
        <v>29</v>
      </c>
      <c r="L189" t="s">
        <v>163</v>
      </c>
      <c r="M189" t="str">
        <f t="shared" si="5"/>
        <v>ALTER TABLE SC_RES.FactWaste ADD CONSTRAINT FK_FactWaste_DateSK FOREIGN KEY (DateSK) REFERENCES Shared.DimCalendarDate(DateSK);</v>
      </c>
    </row>
    <row r="190" spans="1:13" x14ac:dyDescent="0.3">
      <c r="A190" s="31" t="s">
        <v>86</v>
      </c>
      <c r="B190" s="16" t="s">
        <v>234</v>
      </c>
      <c r="C190" s="16" t="s">
        <v>226</v>
      </c>
      <c r="D190" s="17" t="s">
        <v>13</v>
      </c>
      <c r="E190" s="16"/>
      <c r="F190" s="16"/>
      <c r="G190" s="16"/>
      <c r="H190" s="16" t="str">
        <f t="shared" si="3"/>
        <v>ALTER TABLE SC_RES.FactWaste ADD waste_date Date;</v>
      </c>
      <c r="I190" s="16"/>
      <c r="J190" t="s">
        <v>26</v>
      </c>
      <c r="K190" t="s">
        <v>29</v>
      </c>
      <c r="L190" t="s">
        <v>163</v>
      </c>
      <c r="M190" t="str">
        <f t="shared" si="5"/>
        <v>ALTER TABLE SC_RES.FactWaste ADD CONSTRAINT FK_FactWaste_waste_date FOREIGN KEY (waste_date) REFERENCES Shared.DimCalendarDate(DateSK);</v>
      </c>
    </row>
    <row r="191" spans="1:13" x14ac:dyDescent="0.3">
      <c r="A191" s="31" t="s">
        <v>86</v>
      </c>
      <c r="B191" s="16" t="s">
        <v>234</v>
      </c>
      <c r="C191" s="16" t="s">
        <v>227</v>
      </c>
      <c r="D191" s="16" t="s">
        <v>230</v>
      </c>
      <c r="E191" s="16"/>
      <c r="F191" s="16"/>
      <c r="G191" s="16"/>
      <c r="H191" s="16" t="str">
        <f t="shared" si="3"/>
        <v>ALTER TABLE SC_RES.FactWaste ADD waste_reson  VARCHAR(255);</v>
      </c>
      <c r="I191" s="16"/>
      <c r="M191" t="str">
        <f t="shared" si="5"/>
        <v/>
      </c>
    </row>
    <row r="192" spans="1:13" x14ac:dyDescent="0.3">
      <c r="A192" s="31" t="s">
        <v>86</v>
      </c>
      <c r="B192" s="16" t="s">
        <v>234</v>
      </c>
      <c r="C192" s="16" t="s">
        <v>228</v>
      </c>
      <c r="D192" s="16" t="s">
        <v>231</v>
      </c>
      <c r="E192" s="16"/>
      <c r="F192" s="16"/>
      <c r="G192" s="16"/>
      <c r="H192" s="16" t="str">
        <f t="shared" si="3"/>
        <v>ALTER TABLE SC_RES.FactWaste ADD waste_of_product  DECIMAL(10,2);</v>
      </c>
      <c r="I192" s="16"/>
      <c r="M192" t="str">
        <f t="shared" si="5"/>
        <v/>
      </c>
    </row>
    <row r="193" spans="1:13" x14ac:dyDescent="0.3">
      <c r="A193" s="31" t="s">
        <v>86</v>
      </c>
      <c r="B193" s="16" t="s">
        <v>234</v>
      </c>
      <c r="C193" s="16" t="s">
        <v>225</v>
      </c>
      <c r="D193" s="16" t="s">
        <v>152</v>
      </c>
      <c r="E193" s="16"/>
      <c r="F193" s="16"/>
      <c r="G193" s="16"/>
      <c r="H193" s="16" t="str">
        <f t="shared" si="3"/>
        <v>ALTER TABLE SC_RES.FactWaste ADD quanitity_of_product INT;</v>
      </c>
      <c r="I193" s="16"/>
      <c r="M193" t="str">
        <f t="shared" si="5"/>
        <v/>
      </c>
    </row>
    <row r="194" spans="1:13" x14ac:dyDescent="0.3">
      <c r="A194" s="31"/>
      <c r="B194" s="16" t="s">
        <v>234</v>
      </c>
      <c r="C194" s="16" t="s">
        <v>229</v>
      </c>
      <c r="D194" s="16" t="s">
        <v>219</v>
      </c>
      <c r="E194" s="16"/>
      <c r="F194" s="16"/>
      <c r="G194" s="16"/>
      <c r="H194" s="16" t="str">
        <f t="shared" si="3"/>
        <v>ALTER TABLE .FactWaste ADD unit_cost_Product DECIMAL(10,2);</v>
      </c>
      <c r="I194" s="16"/>
      <c r="M194" t="str">
        <f t="shared" si="5"/>
        <v/>
      </c>
    </row>
    <row r="195" spans="1:13" x14ac:dyDescent="0.3">
      <c r="A195" s="56" t="s">
        <v>86</v>
      </c>
      <c r="B195" s="57" t="s">
        <v>235</v>
      </c>
      <c r="C195" s="57" t="s">
        <v>237</v>
      </c>
      <c r="D195" s="57" t="s">
        <v>210</v>
      </c>
      <c r="E195" s="57" t="s">
        <v>247</v>
      </c>
      <c r="F195" s="57"/>
      <c r="G195" s="57"/>
      <c r="H195" s="57" t="str">
        <f t="shared" si="3"/>
        <v>CREATE TABLE SC_RES.DimExpenses (ExpensesSK Bigint IDENTITY(1,1) PRIMARY KEY);</v>
      </c>
      <c r="I195" s="57"/>
      <c r="M195" t="str">
        <f t="shared" si="5"/>
        <v/>
      </c>
    </row>
    <row r="196" spans="1:13" x14ac:dyDescent="0.3">
      <c r="A196" s="56" t="s">
        <v>86</v>
      </c>
      <c r="B196" s="57" t="s">
        <v>235</v>
      </c>
      <c r="C196" s="57" t="s">
        <v>238</v>
      </c>
      <c r="D196" s="57" t="s">
        <v>72</v>
      </c>
      <c r="E196" s="57"/>
      <c r="F196" s="57"/>
      <c r="G196" s="57"/>
      <c r="H196" s="57" t="str">
        <f t="shared" si="3"/>
        <v>ALTER TABLE SC_RES.DimExpenses ADD ExpensesBK VARCHAR(50);</v>
      </c>
      <c r="I196" s="57"/>
      <c r="M196" t="str">
        <f t="shared" si="5"/>
        <v/>
      </c>
    </row>
    <row r="197" spans="1:13" x14ac:dyDescent="0.3">
      <c r="A197" s="56" t="s">
        <v>86</v>
      </c>
      <c r="B197" s="57" t="s">
        <v>235</v>
      </c>
      <c r="C197" s="57" t="s">
        <v>239</v>
      </c>
      <c r="D197" s="57" t="s">
        <v>72</v>
      </c>
      <c r="E197" s="57"/>
      <c r="F197" s="57"/>
      <c r="G197" s="57"/>
      <c r="H197" s="57" t="str">
        <f t="shared" si="3"/>
        <v>ALTER TABLE SC_RES.DimExpenses ADD ExpensesType VARCHAR(50);</v>
      </c>
      <c r="I197" s="57"/>
      <c r="M197" t="str">
        <f t="shared" si="5"/>
        <v/>
      </c>
    </row>
    <row r="198" spans="1:13" x14ac:dyDescent="0.3">
      <c r="A198" s="56" t="s">
        <v>86</v>
      </c>
      <c r="B198" s="57" t="s">
        <v>235</v>
      </c>
      <c r="C198" s="57" t="s">
        <v>240</v>
      </c>
      <c r="D198" s="57" t="s">
        <v>13</v>
      </c>
      <c r="E198" s="57"/>
      <c r="F198" s="57"/>
      <c r="G198" s="57"/>
      <c r="H198" s="57" t="str">
        <f t="shared" si="3"/>
        <v>ALTER TABLE SC_RES.DimExpenses ADD ExpensesDate Date;</v>
      </c>
      <c r="I198" s="57"/>
      <c r="M198" t="str">
        <f t="shared" si="5"/>
        <v/>
      </c>
    </row>
    <row r="199" spans="1:13" x14ac:dyDescent="0.3">
      <c r="A199" s="56" t="s">
        <v>86</v>
      </c>
      <c r="B199" s="57" t="s">
        <v>235</v>
      </c>
      <c r="C199" s="58" t="s">
        <v>31</v>
      </c>
      <c r="D199" s="57" t="s">
        <v>84</v>
      </c>
      <c r="E199" s="57"/>
      <c r="F199" s="57"/>
      <c r="G199" s="57" t="s">
        <v>58</v>
      </c>
      <c r="H199" s="57" t="str">
        <f t="shared" si="3"/>
        <v>ALTER TABLE SC_RES.DimExpenses ADD HashCode NVARCHAR(1000);</v>
      </c>
      <c r="I199" s="57"/>
      <c r="M199" t="str">
        <f t="shared" si="5"/>
        <v/>
      </c>
    </row>
    <row r="200" spans="1:13" x14ac:dyDescent="0.3">
      <c r="A200" s="56" t="s">
        <v>86</v>
      </c>
      <c r="B200" s="57" t="s">
        <v>235</v>
      </c>
      <c r="C200" s="58" t="s">
        <v>75</v>
      </c>
      <c r="D200" s="57" t="s">
        <v>62</v>
      </c>
      <c r="E200" s="57"/>
      <c r="F200" s="57"/>
      <c r="G200" s="57" t="s">
        <v>260</v>
      </c>
      <c r="H200" s="57" t="str">
        <f t="shared" si="3"/>
        <v>ALTER TABLE SC_RES.DimExpenses ADD LandingDate DATE;</v>
      </c>
      <c r="I200" s="57"/>
      <c r="M200" t="str">
        <f t="shared" si="5"/>
        <v/>
      </c>
    </row>
    <row r="201" spans="1:13" x14ac:dyDescent="0.3">
      <c r="A201" s="56" t="s">
        <v>86</v>
      </c>
      <c r="B201" s="57" t="s">
        <v>235</v>
      </c>
      <c r="C201" s="58" t="s">
        <v>78</v>
      </c>
      <c r="D201" s="57" t="s">
        <v>62</v>
      </c>
      <c r="E201" s="57"/>
      <c r="F201" s="57"/>
      <c r="G201" s="57" t="s">
        <v>272</v>
      </c>
      <c r="H201" s="57" t="str">
        <f t="shared" si="3"/>
        <v>ALTER TABLE SC_RES.DimExpenses ADD StartDate DATE;</v>
      </c>
      <c r="I201" s="57"/>
      <c r="M201" t="str">
        <f t="shared" si="5"/>
        <v/>
      </c>
    </row>
    <row r="202" spans="1:13" x14ac:dyDescent="0.3">
      <c r="A202" s="56" t="s">
        <v>86</v>
      </c>
      <c r="B202" s="57" t="s">
        <v>235</v>
      </c>
      <c r="C202" s="58" t="s">
        <v>20</v>
      </c>
      <c r="D202" s="57" t="s">
        <v>62</v>
      </c>
      <c r="E202" s="57"/>
      <c r="F202" s="57"/>
      <c r="G202" s="57" t="s">
        <v>262</v>
      </c>
      <c r="H202" s="57" t="str">
        <f t="shared" si="3"/>
        <v>ALTER TABLE SC_RES.DimExpenses ADD EndDate DATE;</v>
      </c>
      <c r="I202" s="57"/>
      <c r="M202" t="str">
        <f t="shared" si="5"/>
        <v/>
      </c>
    </row>
    <row r="203" spans="1:13" x14ac:dyDescent="0.3">
      <c r="A203" s="56" t="s">
        <v>86</v>
      </c>
      <c r="B203" s="57" t="s">
        <v>235</v>
      </c>
      <c r="C203" s="58" t="s">
        <v>79</v>
      </c>
      <c r="D203" s="57" t="s">
        <v>44</v>
      </c>
      <c r="E203" s="57"/>
      <c r="F203" s="57"/>
      <c r="G203" s="57" t="s">
        <v>263</v>
      </c>
      <c r="H203" s="57" t="str">
        <f t="shared" ref="H203:H209" si="6">IF(E203="y",
 "CREATE TABLE " &amp; A203 &amp; "." &amp; B203 &amp; " (" &amp; C203 &amp; " " &amp; D203 &amp; " IDENTITY(1,1) PRIMARY KEY);",
 "ALTER TABLE " &amp; A203 &amp; "." &amp; B203 &amp; " ADD " &amp; C203 &amp; " " &amp; D203 &amp; ";")</f>
        <v>ALTER TABLE SC_RES.DimExpenses ADD RowStatus varchar(1);</v>
      </c>
      <c r="I203" s="57"/>
      <c r="M203" t="str">
        <f t="shared" si="5"/>
        <v/>
      </c>
    </row>
    <row r="204" spans="1:13" x14ac:dyDescent="0.3">
      <c r="A204" s="56" t="s">
        <v>86</v>
      </c>
      <c r="B204" s="57" t="s">
        <v>235</v>
      </c>
      <c r="C204" s="58" t="s">
        <v>80</v>
      </c>
      <c r="D204" s="57" t="s">
        <v>44</v>
      </c>
      <c r="E204" s="57"/>
      <c r="F204" s="57"/>
      <c r="G204" s="57" t="s">
        <v>273</v>
      </c>
      <c r="H204" s="57" t="str">
        <f t="shared" si="6"/>
        <v>ALTER TABLE SC_RES.DimExpenses ADD IsLatest varchar(1);</v>
      </c>
      <c r="I204" s="57"/>
      <c r="M204" t="str">
        <f t="shared" si="5"/>
        <v/>
      </c>
    </row>
    <row r="205" spans="1:13" x14ac:dyDescent="0.3">
      <c r="A205" s="63" t="s">
        <v>86</v>
      </c>
      <c r="B205" s="63" t="s">
        <v>243</v>
      </c>
      <c r="C205" s="63" t="s">
        <v>237</v>
      </c>
      <c r="D205" s="63" t="s">
        <v>30</v>
      </c>
      <c r="E205" s="63" t="s">
        <v>247</v>
      </c>
      <c r="F205" s="63"/>
      <c r="G205" s="63"/>
      <c r="H205" s="64" t="str">
        <f t="shared" si="6"/>
        <v>CREATE TABLE SC_RES.FactExpenses (ExpensesSK bigint IDENTITY(1,1) PRIMARY KEY);</v>
      </c>
      <c r="I205" s="63"/>
      <c r="M205" t="str">
        <f t="shared" si="5"/>
        <v/>
      </c>
    </row>
    <row r="206" spans="1:13" x14ac:dyDescent="0.3">
      <c r="A206" s="63" t="s">
        <v>86</v>
      </c>
      <c r="B206" s="63" t="s">
        <v>243</v>
      </c>
      <c r="C206" s="63" t="s">
        <v>163</v>
      </c>
      <c r="D206" s="63" t="s">
        <v>30</v>
      </c>
      <c r="E206" s="63"/>
      <c r="F206" s="63"/>
      <c r="G206" s="63"/>
      <c r="H206" s="64" t="str">
        <f t="shared" si="6"/>
        <v>ALTER TABLE SC_RES.FactExpenses ADD DateSK bigint;</v>
      </c>
      <c r="I206" s="63"/>
      <c r="J206" t="s">
        <v>26</v>
      </c>
      <c r="K206" t="s">
        <v>29</v>
      </c>
      <c r="L206" t="s">
        <v>163</v>
      </c>
      <c r="M206" t="str">
        <f t="shared" si="5"/>
        <v>ALTER TABLE SC_RES.FactExpenses ADD CONSTRAINT FK_FactExpenses_DateSK FOREIGN KEY (DateSK) REFERENCES Shared.DimCalendarDate(DateSK);</v>
      </c>
    </row>
    <row r="207" spans="1:13" x14ac:dyDescent="0.3">
      <c r="A207" s="63" t="s">
        <v>86</v>
      </c>
      <c r="B207" s="63" t="s">
        <v>243</v>
      </c>
      <c r="C207" s="63" t="s">
        <v>93</v>
      </c>
      <c r="D207" s="63" t="s">
        <v>30</v>
      </c>
      <c r="E207" s="63"/>
      <c r="F207" s="63"/>
      <c r="G207" s="63"/>
      <c r="H207" s="64" t="str">
        <f t="shared" si="6"/>
        <v>ALTER TABLE SC_RES.FactExpenses ADD BranchSK bigint;</v>
      </c>
      <c r="I207" s="63"/>
      <c r="J207" t="s">
        <v>26</v>
      </c>
      <c r="K207" t="s">
        <v>94</v>
      </c>
      <c r="L207" t="s">
        <v>93</v>
      </c>
      <c r="M207" t="str">
        <f t="shared" si="5"/>
        <v>ALTER TABLE SC_RES.FactExpenses ADD CONSTRAINT FK_FactExpenses_BranchSK FOREIGN KEY (BranchSK) REFERENCES Shared.DimBranch(BranchSK);</v>
      </c>
    </row>
    <row r="208" spans="1:13" x14ac:dyDescent="0.3">
      <c r="A208" s="63" t="s">
        <v>86</v>
      </c>
      <c r="B208" s="63" t="s">
        <v>243</v>
      </c>
      <c r="C208" s="63" t="s">
        <v>244</v>
      </c>
      <c r="D208" s="63" t="s">
        <v>246</v>
      </c>
      <c r="E208" s="63"/>
      <c r="F208" s="63"/>
      <c r="G208" s="63"/>
      <c r="H208" s="64" t="str">
        <f t="shared" si="6"/>
        <v>ALTER TABLE SC_RES.FactExpenses ADD Totalamount  DECIMAL(12,2);</v>
      </c>
      <c r="I208" s="63"/>
      <c r="M208" t="str">
        <f t="shared" si="5"/>
        <v/>
      </c>
    </row>
    <row r="209" spans="1:111" x14ac:dyDescent="0.3">
      <c r="A209" s="63" t="s">
        <v>86</v>
      </c>
      <c r="B209" s="63" t="s">
        <v>243</v>
      </c>
      <c r="C209" s="63" t="s">
        <v>245</v>
      </c>
      <c r="D209" s="63" t="s">
        <v>189</v>
      </c>
      <c r="E209" s="63"/>
      <c r="F209" s="63"/>
      <c r="G209" s="63"/>
      <c r="H209" s="64" t="str">
        <f t="shared" si="6"/>
        <v>ALTER TABLE SC_RES.FactExpenses ADD Expensesdate date;</v>
      </c>
      <c r="I209" s="63"/>
      <c r="J209" t="s">
        <v>26</v>
      </c>
      <c r="K209" t="s">
        <v>29</v>
      </c>
      <c r="L209" t="s">
        <v>163</v>
      </c>
      <c r="M209" t="str">
        <f t="shared" si="5"/>
        <v>ALTER TABLE SC_RES.FactExpenses ADD CONSTRAINT FK_FactExpenses_Expensesdate FOREIGN KEY (Expensesdate) REFERENCES Shared.DimCalendarDate(DateSK);</v>
      </c>
    </row>
    <row r="210" spans="1:111" x14ac:dyDescent="0.3">
      <c r="E210" s="2"/>
      <c r="F210" s="2"/>
      <c r="G210" s="2"/>
      <c r="H210" s="2"/>
      <c r="I210" s="2"/>
      <c r="M210" t="str">
        <f t="shared" si="5"/>
        <v/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</row>
    <row r="211" spans="1:111" x14ac:dyDescent="0.3">
      <c r="E211" s="2"/>
      <c r="F211" s="2"/>
      <c r="G211" s="2"/>
      <c r="H211" s="2"/>
      <c r="I211" s="2"/>
      <c r="M211" t="str">
        <f t="shared" si="5"/>
        <v/>
      </c>
    </row>
    <row r="212" spans="1:111" s="68" customForma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/>
      <c r="K212"/>
      <c r="L212"/>
      <c r="M212" t="str">
        <f t="shared" si="5"/>
        <v/>
      </c>
    </row>
    <row r="213" spans="1:111" s="68" customForma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/>
      <c r="K213"/>
      <c r="L213"/>
      <c r="M213" t="str">
        <f t="shared" si="5"/>
        <v/>
      </c>
    </row>
    <row r="214" spans="1:111" s="68" customForma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/>
      <c r="K214"/>
      <c r="L214"/>
      <c r="M214" t="str">
        <f t="shared" si="5"/>
        <v/>
      </c>
    </row>
    <row r="215" spans="1:111" s="68" customForma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/>
      <c r="K215"/>
      <c r="L215"/>
      <c r="M215" t="str">
        <f t="shared" si="5"/>
        <v/>
      </c>
    </row>
    <row r="216" spans="1:111" s="68" customForma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/>
      <c r="K216"/>
      <c r="L216"/>
      <c r="M216" t="str">
        <f t="shared" si="5"/>
        <v/>
      </c>
    </row>
    <row r="217" spans="1:111" s="68" customForma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/>
      <c r="K217"/>
      <c r="L217"/>
      <c r="M217" t="str">
        <f t="shared" si="5"/>
        <v/>
      </c>
    </row>
    <row r="218" spans="1:111" s="68" customForma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/>
      <c r="K218"/>
      <c r="L218"/>
      <c r="M218"/>
    </row>
    <row r="219" spans="1:111" s="68" customForma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/>
      <c r="K219"/>
      <c r="L219"/>
      <c r="M219"/>
    </row>
    <row r="220" spans="1:111" s="68" customForma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/>
      <c r="K220"/>
      <c r="L220"/>
      <c r="M220"/>
    </row>
    <row r="221" spans="1:111" x14ac:dyDescent="0.3">
      <c r="E221" s="2"/>
      <c r="F221" s="2"/>
      <c r="G221" s="2"/>
      <c r="H221" s="2"/>
      <c r="I221" s="2"/>
    </row>
    <row r="222" spans="1:111" x14ac:dyDescent="0.3">
      <c r="E222" s="2"/>
      <c r="F222" s="2"/>
      <c r="G222" s="2"/>
      <c r="H222" s="2"/>
      <c r="I222" s="2"/>
    </row>
    <row r="223" spans="1:111" x14ac:dyDescent="0.3">
      <c r="E223" s="2"/>
      <c r="F223" s="2"/>
      <c r="G223" s="2"/>
      <c r="H223" s="2"/>
      <c r="I223" s="2"/>
    </row>
    <row r="224" spans="1:111" x14ac:dyDescent="0.3">
      <c r="E224" s="2"/>
      <c r="F224" s="2"/>
      <c r="G224" s="2"/>
      <c r="H224" s="2"/>
      <c r="I224" s="2"/>
    </row>
    <row r="225" spans="5:9" x14ac:dyDescent="0.3">
      <c r="E225" s="2"/>
      <c r="F225" s="2"/>
      <c r="G225" s="2"/>
      <c r="H225" s="2"/>
      <c r="I225" s="2"/>
    </row>
    <row r="226" spans="5:9" x14ac:dyDescent="0.3">
      <c r="E226" s="2"/>
      <c r="F226" s="2"/>
      <c r="G226" s="2"/>
      <c r="H226" s="2"/>
      <c r="I226" s="2"/>
    </row>
    <row r="227" spans="5:9" x14ac:dyDescent="0.3">
      <c r="E227" s="2"/>
      <c r="F227" s="2"/>
      <c r="G227" s="2"/>
      <c r="H227" s="2"/>
      <c r="I227" s="2"/>
    </row>
    <row r="228" spans="5:9" x14ac:dyDescent="0.3">
      <c r="E228" s="2"/>
      <c r="F228" s="2"/>
      <c r="G228" s="2"/>
      <c r="H228" s="2"/>
      <c r="I228" s="2"/>
    </row>
    <row r="229" spans="5:9" x14ac:dyDescent="0.3">
      <c r="E229" s="2"/>
      <c r="F229" s="2"/>
      <c r="G229" s="2"/>
      <c r="H229" s="2"/>
      <c r="I229" s="2"/>
    </row>
    <row r="230" spans="5:9" x14ac:dyDescent="0.3">
      <c r="E230" s="2"/>
      <c r="F230" s="2"/>
      <c r="G230" s="2"/>
      <c r="H230" s="2"/>
      <c r="I230" s="2"/>
    </row>
    <row r="231" spans="5:9" x14ac:dyDescent="0.3">
      <c r="E231" s="2"/>
      <c r="F231" s="2"/>
      <c r="G231" s="2"/>
      <c r="H231" s="2"/>
      <c r="I231" s="2"/>
    </row>
    <row r="232" spans="5:9" x14ac:dyDescent="0.3">
      <c r="E232" s="2"/>
      <c r="F232" s="2"/>
      <c r="G232" s="2"/>
      <c r="H232" s="2"/>
      <c r="I232" s="2"/>
    </row>
    <row r="233" spans="5:9" x14ac:dyDescent="0.3">
      <c r="E233" s="2"/>
      <c r="F233" s="2"/>
      <c r="G233" s="2"/>
      <c r="H233" s="2"/>
      <c r="I233" s="2"/>
    </row>
    <row r="234" spans="5:9" x14ac:dyDescent="0.3">
      <c r="E234" s="2"/>
      <c r="F234" s="2"/>
      <c r="G234" s="2"/>
      <c r="H234" s="2"/>
      <c r="I234" s="2"/>
    </row>
    <row r="235" spans="5:9" x14ac:dyDescent="0.3">
      <c r="E235" s="2"/>
      <c r="F235" s="2"/>
      <c r="G235" s="2"/>
      <c r="H235" s="2"/>
      <c r="I235" s="2"/>
    </row>
    <row r="236" spans="5:9" x14ac:dyDescent="0.3">
      <c r="E236" s="2"/>
      <c r="F236" s="2"/>
      <c r="G236" s="2"/>
      <c r="H236" s="2"/>
      <c r="I236" s="2"/>
    </row>
    <row r="237" spans="5:9" x14ac:dyDescent="0.3">
      <c r="E237" s="2"/>
      <c r="F237" s="2"/>
      <c r="G237" s="2"/>
      <c r="H237" s="2"/>
      <c r="I237" s="2"/>
    </row>
    <row r="238" spans="5:9" x14ac:dyDescent="0.3">
      <c r="E238" s="2"/>
      <c r="F238" s="2"/>
      <c r="G238" s="2"/>
      <c r="H238" s="2"/>
      <c r="I238" s="2"/>
    </row>
    <row r="239" spans="5:9" x14ac:dyDescent="0.3">
      <c r="E239" s="2"/>
      <c r="F239" s="2"/>
      <c r="G239" s="2"/>
      <c r="H239" s="2"/>
      <c r="I239" s="2"/>
    </row>
    <row r="240" spans="5:9" x14ac:dyDescent="0.3">
      <c r="E240" s="2"/>
      <c r="F240" s="2"/>
      <c r="G240" s="2"/>
      <c r="H240" s="2"/>
      <c r="I240" s="2"/>
    </row>
    <row r="241" spans="5:9" x14ac:dyDescent="0.3">
      <c r="E241" s="2"/>
      <c r="F241" s="2"/>
      <c r="G241" s="2"/>
      <c r="H241" s="2"/>
      <c r="I241" s="2"/>
    </row>
    <row r="242" spans="5:9" x14ac:dyDescent="0.3">
      <c r="E242" s="2"/>
      <c r="F242" s="2"/>
      <c r="G242" s="2"/>
      <c r="H242" s="2"/>
      <c r="I242" s="2"/>
    </row>
    <row r="243" spans="5:9" x14ac:dyDescent="0.3">
      <c r="E243" s="2"/>
      <c r="F243" s="2"/>
      <c r="G243" s="2"/>
      <c r="H243" s="2"/>
      <c r="I243" s="2"/>
    </row>
  </sheetData>
  <autoFilter ref="A1:I243" xr:uid="{EB8F2D97-D27D-448A-A417-B7AE7CB71A8A}"/>
  <conditionalFormatting sqref="A1:M1">
    <cfRule type="cellIs" dxfId="22" priority="1" operator="equal">
      <formula>"NO"</formula>
    </cfRule>
    <cfRule type="cellIs" dxfId="21" priority="2" operator="equal">
      <formula>"Varchar"</formula>
    </cfRule>
    <cfRule type="cellIs" dxfId="20" priority="3" operator="equal">
      <formula>"INT"</formula>
    </cfRule>
    <cfRule type="cellIs" dxfId="19" priority="4" operator="equal">
      <formula>"NVarchar"</formula>
    </cfRule>
    <cfRule type="cellIs" dxfId="18" priority="5" operator="equal">
      <formula>"Datetime"</formula>
    </cfRule>
    <cfRule type="cellIs" dxfId="17" priority="6" operator="equal">
      <formula>"Dateime"</formula>
    </cfRule>
    <cfRule type="cellIs" dxfId="16" priority="7" operator="equal">
      <formula>"View"</formula>
    </cfRule>
    <cfRule type="cellIs" dxfId="15" priority="8" operator="equal">
      <formula>"Table"</formula>
    </cfRule>
    <cfRule type="cellIs" dxfId="14" priority="9" operator="equal">
      <formula>"YES"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EBB6-DA92-4060-8BB5-4DEBF1AC0430}">
  <sheetPr>
    <pageSetUpPr fitToPage="1"/>
  </sheetPr>
  <dimension ref="A1:AV21"/>
  <sheetViews>
    <sheetView showGridLines="0" topLeftCell="A3" zoomScaleNormal="100" workbookViewId="0">
      <selection activeCell="Q7" sqref="Q7"/>
    </sheetView>
  </sheetViews>
  <sheetFormatPr defaultColWidth="9.109375" defaultRowHeight="14.4" x14ac:dyDescent="0.3"/>
  <cols>
    <col min="1" max="1" width="3.5546875" style="69" customWidth="1"/>
    <col min="2" max="2" width="52.33203125" style="69" customWidth="1"/>
    <col min="3" max="3" width="4" style="73" bestFit="1" customWidth="1"/>
    <col min="4" max="15" width="3.6640625" style="73" customWidth="1"/>
    <col min="16" max="48" width="9.109375" style="72"/>
    <col min="49" max="16384" width="9.109375" style="69"/>
  </cols>
  <sheetData>
    <row r="1" spans="1:15" ht="15" customHeight="1" x14ac:dyDescent="0.3">
      <c r="B1" s="70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5" customHeight="1" x14ac:dyDescent="0.3">
      <c r="B2" s="74"/>
      <c r="C2" s="125" t="s">
        <v>59</v>
      </c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</row>
    <row r="3" spans="1:15" s="78" customFormat="1" ht="175.5" customHeight="1" x14ac:dyDescent="0.3">
      <c r="A3" s="75"/>
      <c r="B3" s="76" t="s">
        <v>60</v>
      </c>
      <c r="C3" s="77" t="s">
        <v>85</v>
      </c>
      <c r="D3" s="77" t="s">
        <v>94</v>
      </c>
      <c r="E3" s="77" t="s">
        <v>100</v>
      </c>
      <c r="F3" s="77" t="s">
        <v>112</v>
      </c>
      <c r="G3" s="77" t="s">
        <v>119</v>
      </c>
      <c r="H3" s="77" t="s">
        <v>182</v>
      </c>
      <c r="I3" s="77" t="s">
        <v>29</v>
      </c>
      <c r="J3" s="77" t="s">
        <v>32</v>
      </c>
      <c r="K3" s="77" t="s">
        <v>202</v>
      </c>
      <c r="L3" s="77" t="s">
        <v>209</v>
      </c>
      <c r="M3" s="77" t="s">
        <v>333</v>
      </c>
      <c r="N3" s="77" t="s">
        <v>327</v>
      </c>
      <c r="O3" s="77" t="s">
        <v>235</v>
      </c>
    </row>
    <row r="4" spans="1:15" s="72" customFormat="1" x14ac:dyDescent="0.3">
      <c r="A4" s="79"/>
      <c r="B4" s="80" t="s">
        <v>162</v>
      </c>
      <c r="C4" s="81" t="s">
        <v>63</v>
      </c>
      <c r="D4" s="81" t="s">
        <v>63</v>
      </c>
      <c r="E4" s="81" t="s">
        <v>63</v>
      </c>
      <c r="F4" s="81" t="s">
        <v>63</v>
      </c>
      <c r="G4" s="81" t="s">
        <v>63</v>
      </c>
      <c r="H4" s="81" t="s">
        <v>63</v>
      </c>
      <c r="I4" s="81" t="s">
        <v>63</v>
      </c>
      <c r="J4" s="81"/>
      <c r="K4" s="81"/>
      <c r="L4" s="81"/>
      <c r="M4" s="81" t="s">
        <v>63</v>
      </c>
      <c r="N4" s="81"/>
      <c r="O4" s="81"/>
    </row>
    <row r="5" spans="1:15" s="72" customFormat="1" x14ac:dyDescent="0.3">
      <c r="A5" s="79"/>
      <c r="B5" s="80" t="s">
        <v>220</v>
      </c>
      <c r="C5" s="81"/>
      <c r="D5" s="81"/>
      <c r="E5" s="81"/>
      <c r="F5" s="81"/>
      <c r="G5" s="81"/>
      <c r="H5" s="81"/>
      <c r="I5" s="81" t="s">
        <v>63</v>
      </c>
      <c r="J5" s="81" t="s">
        <v>63</v>
      </c>
      <c r="K5" s="81" t="s">
        <v>63</v>
      </c>
      <c r="L5" s="81"/>
      <c r="M5" s="81" t="s">
        <v>63</v>
      </c>
      <c r="N5" s="81" t="s">
        <v>63</v>
      </c>
      <c r="O5" s="81"/>
    </row>
    <row r="6" spans="1:15" s="72" customFormat="1" x14ac:dyDescent="0.3">
      <c r="A6" s="79"/>
      <c r="B6" s="80" t="s">
        <v>234</v>
      </c>
      <c r="C6" s="81"/>
      <c r="D6" s="81" t="s">
        <v>63</v>
      </c>
      <c r="E6" s="81"/>
      <c r="F6" s="81" t="s">
        <v>63</v>
      </c>
      <c r="G6" s="81"/>
      <c r="H6" s="81"/>
      <c r="I6" s="81" t="s">
        <v>63</v>
      </c>
      <c r="J6" s="81"/>
      <c r="K6" s="81"/>
      <c r="L6" s="81"/>
      <c r="M6" s="81" t="s">
        <v>63</v>
      </c>
      <c r="N6" s="81"/>
      <c r="O6" s="81"/>
    </row>
    <row r="7" spans="1:15" s="72" customFormat="1" x14ac:dyDescent="0.3">
      <c r="A7" s="79"/>
      <c r="B7" s="80" t="s">
        <v>243</v>
      </c>
      <c r="C7" s="81"/>
      <c r="D7" s="81" t="s">
        <v>63</v>
      </c>
      <c r="E7" s="81"/>
      <c r="F7" s="81"/>
      <c r="G7" s="81"/>
      <c r="H7" s="81"/>
      <c r="I7" s="81" t="s">
        <v>63</v>
      </c>
      <c r="J7" s="81"/>
      <c r="K7" s="81"/>
      <c r="L7" s="81"/>
      <c r="M7" s="81" t="s">
        <v>63</v>
      </c>
      <c r="N7" s="81"/>
      <c r="O7" s="81" t="s">
        <v>63</v>
      </c>
    </row>
    <row r="8" spans="1:15" s="72" customFormat="1" x14ac:dyDescent="0.3"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</row>
    <row r="9" spans="1:15" s="72" customFormat="1" x14ac:dyDescent="0.3"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</row>
    <row r="10" spans="1:15" s="72" customFormat="1" x14ac:dyDescent="0.3"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</row>
    <row r="11" spans="1:15" s="72" customFormat="1" x14ac:dyDescent="0.3"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</row>
    <row r="12" spans="1:15" s="72" customFormat="1" x14ac:dyDescent="0.3"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</row>
    <row r="13" spans="1:15" s="72" customFormat="1" x14ac:dyDescent="0.3"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</row>
    <row r="14" spans="1:15" s="72" customFormat="1" x14ac:dyDescent="0.3">
      <c r="B14" s="72" t="s">
        <v>61</v>
      </c>
      <c r="C14" s="73" t="s">
        <v>61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</row>
    <row r="15" spans="1:15" s="72" customFormat="1" x14ac:dyDescent="0.3"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</row>
    <row r="16" spans="1:15" s="72" customFormat="1" x14ac:dyDescent="0.3"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</row>
    <row r="17" spans="3:15" s="72" customFormat="1" x14ac:dyDescent="0.3"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</row>
    <row r="18" spans="3:15" s="72" customFormat="1" x14ac:dyDescent="0.3"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</row>
    <row r="19" spans="3:15" s="72" customFormat="1" x14ac:dyDescent="0.3"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</row>
    <row r="20" spans="3:15" s="72" customFormat="1" x14ac:dyDescent="0.3"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</row>
    <row r="21" spans="3:15" s="72" customFormat="1" x14ac:dyDescent="0.3"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</row>
  </sheetData>
  <sheetProtection formatCells="0" formatColumns="0" formatRows="0" insertColumns="0" insertRows="0" insertHyperlinks="0" deleteColumns="0" deleteRows="0" sort="0" autoFilter="0" pivotTables="0"/>
  <dataConsolidate/>
  <mergeCells count="1">
    <mergeCell ref="C2:O2"/>
  </mergeCells>
  <conditionalFormatting sqref="C4:H7">
    <cfRule type="cellIs" dxfId="13" priority="3" stopIfTrue="1" operator="notEqual">
      <formula>1</formula>
    </cfRule>
    <cfRule type="cellIs" dxfId="12" priority="4" stopIfTrue="1" operator="equal">
      <formula>1</formula>
    </cfRule>
  </conditionalFormatting>
  <conditionalFormatting sqref="I5:I7">
    <cfRule type="cellIs" dxfId="11" priority="17" stopIfTrue="1" operator="notEqual">
      <formula>1</formula>
    </cfRule>
    <cfRule type="cellIs" dxfId="10" priority="18" stopIfTrue="1" operator="equal">
      <formula>1</formula>
    </cfRule>
  </conditionalFormatting>
  <conditionalFormatting sqref="I4:L4">
    <cfRule type="cellIs" dxfId="9" priority="19" stopIfTrue="1" operator="notEqual">
      <formula>1</formula>
    </cfRule>
    <cfRule type="cellIs" dxfId="8" priority="20" stopIfTrue="1" operator="equal">
      <formula>1</formula>
    </cfRule>
  </conditionalFormatting>
  <conditionalFormatting sqref="J6:J7">
    <cfRule type="cellIs" dxfId="7" priority="81" stopIfTrue="1" operator="equal">
      <formula>""</formula>
    </cfRule>
    <cfRule type="cellIs" dxfId="6" priority="82" stopIfTrue="1" operator="notEqual">
      <formula>""</formula>
    </cfRule>
  </conditionalFormatting>
  <conditionalFormatting sqref="J5:L5">
    <cfRule type="cellIs" dxfId="5" priority="11" stopIfTrue="1" operator="notEqual">
      <formula>1</formula>
    </cfRule>
    <cfRule type="cellIs" dxfId="4" priority="12" stopIfTrue="1" operator="equal">
      <formula>1</formula>
    </cfRule>
  </conditionalFormatting>
  <conditionalFormatting sqref="K6:L7">
    <cfRule type="cellIs" dxfId="3" priority="9" stopIfTrue="1" operator="notEqual">
      <formula>1</formula>
    </cfRule>
    <cfRule type="cellIs" dxfId="2" priority="10" stopIfTrue="1" operator="equal">
      <formula>1</formula>
    </cfRule>
  </conditionalFormatting>
  <conditionalFormatting sqref="M4:O7">
    <cfRule type="cellIs" dxfId="1" priority="1" stopIfTrue="1" operator="notEqual">
      <formula>1</formula>
    </cfRule>
    <cfRule type="cellIs" dxfId="0" priority="2" stopIfTrue="1" operator="equal">
      <formula>1</formula>
    </cfRule>
  </conditionalFormatting>
  <pageMargins left="0.7" right="0.7" top="0.75" bottom="0.75" header="0.3" footer="0.3"/>
  <pageSetup paperSize="9" scale="8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Change Tracker</vt:lpstr>
      <vt:lpstr>Mapping Sheet</vt:lpstr>
      <vt:lpstr>DDL</vt:lpstr>
      <vt:lpstr>Data Warehouse Matrix</vt:lpstr>
      <vt:lpstr>'Data Warehouse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Ahmed.Bayome</dc:creator>
  <cp:lastModifiedBy>عبد الله محمد احمد محمد ( 126213240 )</cp:lastModifiedBy>
  <dcterms:created xsi:type="dcterms:W3CDTF">2023-06-05T21:23:20Z</dcterms:created>
  <dcterms:modified xsi:type="dcterms:W3CDTF">2025-08-29T13:57:19Z</dcterms:modified>
</cp:coreProperties>
</file>